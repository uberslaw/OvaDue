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rupaus-my.sharepoint.com/personal/dino_santos_arup_com/Documents/Desktop/"/>
    </mc:Choice>
  </mc:AlternateContent>
  <xr:revisionPtr revIDLastSave="0" documentId="8_{738CD135-548F-42A7-B20B-5CD6AB349BBA}" xr6:coauthVersionLast="47" xr6:coauthVersionMax="47" xr10:uidLastSave="{00000000-0000-0000-0000-000000000000}"/>
  <bookViews>
    <workbookView xWindow="13680" yWindow="-21720" windowWidth="38640" windowHeight="21120" tabRatio="500" xr2:uid="{2A555C51-8738-4E2F-A4D0-43E111C4866A}"/>
  </bookViews>
  <sheets>
    <sheet name="HP OrderStatus" sheetId="1" r:id="rId1"/>
  </sheets>
  <definedNames>
    <definedName name="_xlnm._FilterDatabase" localSheetId="0" hidden="1">'HP OrderStatus'!$A$1:$AA$81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7" i="1" l="1"/>
  <c r="Z37" i="1"/>
  <c r="Y18" i="1"/>
  <c r="Z18" i="1"/>
  <c r="Y19" i="1"/>
  <c r="Z19" i="1"/>
  <c r="Y65" i="1"/>
  <c r="Z65" i="1"/>
  <c r="Y66" i="1"/>
  <c r="Z66" i="1"/>
  <c r="Y53" i="1"/>
  <c r="Z53" i="1" s="1"/>
  <c r="Y31" i="1"/>
  <c r="Z31" i="1"/>
  <c r="Y41" i="1"/>
  <c r="Z41" i="1"/>
  <c r="Y21" i="1"/>
  <c r="Z21" i="1"/>
  <c r="Y27" i="1"/>
  <c r="Z27" i="1"/>
  <c r="Y20" i="1"/>
  <c r="Z20" i="1"/>
  <c r="Y50" i="1"/>
  <c r="Z50" i="1" s="1"/>
  <c r="Y49" i="1"/>
  <c r="Z49" i="1"/>
  <c r="Y4" i="1"/>
  <c r="Z4" i="1"/>
  <c r="Y56" i="1"/>
  <c r="Z56" i="1"/>
  <c r="Y34" i="1"/>
  <c r="Z34" i="1"/>
  <c r="Y35" i="1"/>
  <c r="Z35" i="1"/>
  <c r="Y38" i="1"/>
  <c r="Z38" i="1" s="1"/>
  <c r="Y13" i="1"/>
  <c r="Z13" i="1"/>
  <c r="Y57" i="1"/>
  <c r="Z57" i="1"/>
  <c r="Y6" i="1"/>
  <c r="Z6" i="1"/>
  <c r="Y7" i="1"/>
  <c r="Z7" i="1"/>
  <c r="Y30" i="1"/>
  <c r="Z30" i="1"/>
  <c r="Y58" i="1"/>
  <c r="Z58" i="1" s="1"/>
  <c r="Y14" i="1"/>
  <c r="Z14" i="1"/>
  <c r="Y63" i="1"/>
  <c r="Z63" i="1"/>
  <c r="Y40" i="1"/>
  <c r="Z40" i="1"/>
  <c r="Y51" i="1"/>
  <c r="Z51" i="1"/>
  <c r="Y52" i="1"/>
  <c r="Z52" i="1"/>
  <c r="Y68" i="1"/>
  <c r="Z68" i="1" s="1"/>
  <c r="Y67" i="1"/>
  <c r="Z67" i="1"/>
  <c r="Y8" i="1"/>
  <c r="Z8" i="1"/>
  <c r="Y64" i="1"/>
  <c r="Z64" i="1"/>
  <c r="Y39" i="1"/>
  <c r="Z39" i="1"/>
  <c r="Y47" i="1"/>
  <c r="Z47" i="1"/>
  <c r="Y22" i="1"/>
  <c r="Z22" i="1" s="1"/>
  <c r="Y23" i="1"/>
  <c r="Z23" i="1"/>
  <c r="Y24" i="1"/>
  <c r="Z24" i="1"/>
  <c r="Y16" i="1"/>
  <c r="Z16" i="1"/>
  <c r="Y17" i="1"/>
  <c r="Z17" i="1"/>
  <c r="Y69" i="1"/>
  <c r="Z69" i="1"/>
  <c r="Y43" i="1"/>
  <c r="Z43" i="1" s="1"/>
  <c r="Y33" i="1"/>
  <c r="Z33" i="1"/>
  <c r="Y9" i="1"/>
  <c r="Z9" i="1"/>
  <c r="Y10" i="1"/>
  <c r="Z10" i="1"/>
  <c r="Y25" i="1"/>
  <c r="Z25" i="1"/>
  <c r="Y11" i="1"/>
  <c r="Z11" i="1"/>
  <c r="Y12" i="1"/>
  <c r="Z12" i="1" s="1"/>
  <c r="Y15" i="1"/>
  <c r="Z15" i="1"/>
  <c r="Y26" i="1"/>
  <c r="Z26" i="1"/>
  <c r="Y42" i="1"/>
  <c r="Z42" i="1"/>
  <c r="Y32" i="1"/>
  <c r="Z32" i="1"/>
  <c r="Y45" i="1"/>
  <c r="Z45" i="1"/>
  <c r="Y54" i="1"/>
  <c r="Z54" i="1" s="1"/>
  <c r="Y55" i="1"/>
  <c r="Z55" i="1"/>
  <c r="Y44" i="1"/>
  <c r="Z44" i="1"/>
  <c r="Y60" i="1"/>
  <c r="Z60" i="1"/>
  <c r="Y46" i="1"/>
  <c r="Z46" i="1"/>
  <c r="Y70" i="1"/>
  <c r="Z70" i="1"/>
  <c r="Y59" i="1"/>
  <c r="Z59" i="1" s="1"/>
  <c r="Y48" i="1"/>
  <c r="Z48" i="1"/>
  <c r="Y5" i="1"/>
  <c r="Z5" i="1"/>
  <c r="Y36" i="1"/>
  <c r="Z36" i="1"/>
  <c r="Y2" i="1"/>
  <c r="Z2" i="1"/>
  <c r="Y3" i="1"/>
  <c r="Z3" i="1"/>
  <c r="Y61" i="1"/>
  <c r="Z61" i="1" s="1"/>
  <c r="Y62" i="1"/>
  <c r="Z62" i="1"/>
  <c r="Y28" i="1"/>
  <c r="Z28" i="1"/>
  <c r="Y29" i="1"/>
  <c r="Z29" i="1"/>
</calcChain>
</file>

<file path=xl/sharedStrings.xml><?xml version="1.0" encoding="utf-8"?>
<sst xmlns="http://schemas.openxmlformats.org/spreadsheetml/2006/main" count="1514" uniqueCount="350">
  <si>
    <t>PurchaseOrderNo</t>
  </si>
  <si>
    <t>HPOrderNo</t>
  </si>
  <si>
    <t>CustomerName</t>
  </si>
  <si>
    <t>AccountName</t>
  </si>
  <si>
    <t>ShipToHPRegion</t>
  </si>
  <si>
    <t>ShipToCountry</t>
  </si>
  <si>
    <t>ShipToAddr</t>
  </si>
  <si>
    <t>Status</t>
  </si>
  <si>
    <t>HPReceiveDate</t>
  </si>
  <si>
    <t>CustomerRequestedDate</t>
  </si>
  <si>
    <t>PlannedShipDate</t>
  </si>
  <si>
    <t>PlannedDeliveryDate</t>
  </si>
  <si>
    <t>TransportModePlanned</t>
  </si>
  <si>
    <t>ProductNumber</t>
  </si>
  <si>
    <t>OrderedQuantity</t>
  </si>
  <si>
    <t>NetLineDollarPrice</t>
  </si>
  <si>
    <t>ProductDescription</t>
  </si>
  <si>
    <t>MM_MH_Model</t>
  </si>
  <si>
    <t>MM_MH_Category</t>
  </si>
  <si>
    <t>MM_MH_Series</t>
  </si>
  <si>
    <t>MM_MH_Type</t>
  </si>
  <si>
    <t>MSM</t>
  </si>
  <si>
    <t>ItemNumber</t>
  </si>
  <si>
    <t/>
  </si>
  <si>
    <t>1</t>
  </si>
  <si>
    <t>130169372</t>
  </si>
  <si>
    <t>Ove Arup and Partners Ireland</t>
  </si>
  <si>
    <t>ARUP GROUP LTD - WW</t>
  </si>
  <si>
    <t>EMEA</t>
  </si>
  <si>
    <t>Ireland</t>
  </si>
  <si>
    <t>Ove Arup and Partners IrelandOne Albert QuayT12 X8N6 Cork</t>
  </si>
  <si>
    <t>Production</t>
  </si>
  <si>
    <t>Truck</t>
  </si>
  <si>
    <t>B7NK0AA#ABU</t>
  </si>
  <si>
    <t>HP USB-C 140W Laptop Charger UK</t>
  </si>
  <si>
    <t>HP 140W USB-C Laptop Charger</t>
  </si>
  <si>
    <t>Power</t>
  </si>
  <si>
    <t>AC Adapter above 90W</t>
  </si>
  <si>
    <t>DIRECT</t>
  </si>
  <si>
    <t>0010</t>
  </si>
  <si>
    <t>2026-06</t>
  </si>
  <si>
    <t>129381323</t>
  </si>
  <si>
    <t>Arup Italia Srl</t>
  </si>
  <si>
    <t>Italy</t>
  </si>
  <si>
    <t>Arup Italia SrlMilanCorso Italia 120122 Milano</t>
  </si>
  <si>
    <t>Consolidation</t>
  </si>
  <si>
    <t>B4YT4AV</t>
  </si>
  <si>
    <t>BU IDS DSCRTXP20008GB U7265H X 16 G1i</t>
  </si>
  <si>
    <t>HP ZBook X G1i 16 inch Mobile Workstation PC IDS Base Model</t>
  </si>
  <si>
    <t>Workstations</t>
  </si>
  <si>
    <t>HP ZBook X G1i 16 inch Mobile Workstation PC</t>
  </si>
  <si>
    <t>ARUP27449</t>
  </si>
  <si>
    <t>129082325</t>
  </si>
  <si>
    <t>Ove Arup &amp; Partners S.A.U.</t>
  </si>
  <si>
    <t>Spain</t>
  </si>
  <si>
    <t>Ove Arup &amp; Partners S.A.U.12Alfonso XI28014 Madrid</t>
  </si>
  <si>
    <t>1060</t>
  </si>
  <si>
    <t>B25DNAV</t>
  </si>
  <si>
    <t>BU IDS DSCRTX500Ada4GB U7265H 8 14 G1i</t>
  </si>
  <si>
    <t>HP ZBook 8 G1i 14 inch Mobile Workstation PC IDS Base Model</t>
  </si>
  <si>
    <t>HP ZBook 8 G1i 14 inch Mobile Workstation PC</t>
  </si>
  <si>
    <t>0700</t>
  </si>
  <si>
    <t>0340</t>
  </si>
  <si>
    <t>1430</t>
  </si>
  <si>
    <t>1070</t>
  </si>
  <si>
    <t>ARUP27450</t>
  </si>
  <si>
    <t>129082631</t>
  </si>
  <si>
    <t>ARUP MUHENDİSLİK VE MUSAVİRLİK</t>
  </si>
  <si>
    <t>Turkey</t>
  </si>
  <si>
    <t>ARUP MUHENDİSLİK VE MUSAVİRLİKLTD. STİ.Baslik Sk No3 Kat1Nisbetiye Mah. Baslik Sokak34340 Levent Istanbul</t>
  </si>
  <si>
    <t>0710</t>
  </si>
  <si>
    <t>Shipped</t>
  </si>
  <si>
    <t>ARUP-BAN/PO/007/DELL/26-27</t>
  </si>
  <si>
    <t>130119134</t>
  </si>
  <si>
    <t>Arup India Private Limited</t>
  </si>
  <si>
    <t>APJ</t>
  </si>
  <si>
    <t>India</t>
  </si>
  <si>
    <t>Arup India Pvt LtdPlot No. 1,  Sy. No. 83/1 Knowledge City, Raidurg4th Floor, Aurobindo GalaxyKnowledge City, Raidurg500081 Hyderabad</t>
  </si>
  <si>
    <t>Processing</t>
  </si>
  <si>
    <t>0350</t>
  </si>
  <si>
    <t>Sea</t>
  </si>
  <si>
    <t>DK-97</t>
  </si>
  <si>
    <t>129087657</t>
  </si>
  <si>
    <t>Ove Arup &amp; Partners Danmark A/S</t>
  </si>
  <si>
    <t>Denmark</t>
  </si>
  <si>
    <t>Ove Arup &amp; Partners Danmark A/SAxeltorv 2K, 3 sal.1609 Copenhagen V</t>
  </si>
  <si>
    <t>DK-99</t>
  </si>
  <si>
    <t>130188935</t>
  </si>
  <si>
    <t>0020</t>
  </si>
  <si>
    <t>9D9A7AA#ABY</t>
  </si>
  <si>
    <t>HP S5 Pro 524pn WUXGA MNTR DEN</t>
  </si>
  <si>
    <t>HP Series 5 Pro 24 inch WUXGA Monitor  - 524pn</t>
  </si>
  <si>
    <t>Business Monitors</t>
  </si>
  <si>
    <t>HP Series 5 Pro 24 inch WUXGA Monitor - 524pn</t>
  </si>
  <si>
    <t>DPO2604854</t>
  </si>
  <si>
    <t>129150408</t>
  </si>
  <si>
    <t>ALPHA DATA PJSC</t>
  </si>
  <si>
    <t>United Arab Emirates</t>
  </si>
  <si>
    <t>ALPHA DATA PJSCP.O.Box 8829, Dubai Investment Park8829 Dubai</t>
  </si>
  <si>
    <t>Air</t>
  </si>
  <si>
    <t>CHANNEL</t>
  </si>
  <si>
    <t>ICS26-3657/ARUP GROUP</t>
  </si>
  <si>
    <t>129150805</t>
  </si>
  <si>
    <t>INTEGRATED COMPUTER SYSTEMS INC.</t>
  </si>
  <si>
    <t>Philippines</t>
  </si>
  <si>
    <t>INTEGRATED COMPUTER SYSTEMS, INCBO. UGONG, PASIG CITY#88 P. ANTONIO STREETPASIG</t>
  </si>
  <si>
    <t>0680</t>
  </si>
  <si>
    <t>IE_PO2687</t>
  </si>
  <si>
    <t>129971200</t>
  </si>
  <si>
    <t>Ove Arup &amp; Partners Ireland Limited</t>
  </si>
  <si>
    <t>Ove Arup &amp; PartnersDublin 450 Ringsend RoadD04T 6X0 Dublin</t>
  </si>
  <si>
    <t>AX0X4AV</t>
  </si>
  <si>
    <t>BU IDS UMA R7PRO 250 32GB 8 13 G1a</t>
  </si>
  <si>
    <t>HP EliteBook 8 G1a 13 inch Notebook AI PC IDS Base Model</t>
  </si>
  <si>
    <t>Business Laptop PCs</t>
  </si>
  <si>
    <t>HP EliteBook 8 G1a 13 inch Notebook AI PC</t>
  </si>
  <si>
    <t>James.Malabanan@arup.com</t>
  </si>
  <si>
    <t>130028614</t>
  </si>
  <si>
    <t>Arup North America LTD</t>
  </si>
  <si>
    <t>US</t>
  </si>
  <si>
    <t>United States</t>
  </si>
  <si>
    <t>Arup US, Inc140 Broadway, 20th FloorNew York 10005-1033</t>
  </si>
  <si>
    <t>8X231AA</t>
  </si>
  <si>
    <t>Poly BW 5220 USB-C HS +3.5mmP +USB-C/A</t>
  </si>
  <si>
    <t>Blackwire 5220 USB -C</t>
  </si>
  <si>
    <t>Audio</t>
  </si>
  <si>
    <t>Blackwire 5200 series</t>
  </si>
  <si>
    <t>MADHP-2526-27</t>
  </si>
  <si>
    <t>128180290</t>
  </si>
  <si>
    <t>129981637</t>
  </si>
  <si>
    <t>Ove Arup &amp; Partners S.A.U.Alfonso XI 1228014 Madrid</t>
  </si>
  <si>
    <t>MADHP-2627-06</t>
  </si>
  <si>
    <t>129347916</t>
  </si>
  <si>
    <t>0370</t>
  </si>
  <si>
    <t>MADHP-2627-08</t>
  </si>
  <si>
    <t>129786404</t>
  </si>
  <si>
    <t>MIL2026-04</t>
  </si>
  <si>
    <t>128836630</t>
  </si>
  <si>
    <t>MIL2026-07</t>
  </si>
  <si>
    <t>129786764</t>
  </si>
  <si>
    <t>POL_PO203</t>
  </si>
  <si>
    <t>128733630</t>
  </si>
  <si>
    <t>Arup Polska Sp. z o.o.</t>
  </si>
  <si>
    <t>Poland</t>
  </si>
  <si>
    <t>Arup Polska Sp. z o.o.ul. Inflancka 400-189 Warszawa</t>
  </si>
  <si>
    <t>0720</t>
  </si>
  <si>
    <t>POL_PO204</t>
  </si>
  <si>
    <t>128733620</t>
  </si>
  <si>
    <t>Arup Polska Sp. z o.o.ul. Przybyszewskiego 5630-128 Krakow</t>
  </si>
  <si>
    <t>POSG220651-1P</t>
  </si>
  <si>
    <t>129227719</t>
  </si>
  <si>
    <t>ELITE TECHNOLOGY JSC</t>
  </si>
  <si>
    <t>Vietnam</t>
  </si>
  <si>
    <t>ELITE TECHNOLOGY JSCThanh My Tay Ward, Ho Chi Minh City289/1 Ung Van Khiem Street,70000 HO CHI MINH CITY</t>
  </si>
  <si>
    <t>POSG221364-1P</t>
  </si>
  <si>
    <t>129996484</t>
  </si>
  <si>
    <t>0360</t>
  </si>
  <si>
    <t>PR20001166</t>
  </si>
  <si>
    <t>129081851</t>
  </si>
  <si>
    <t>Arup50 Ringsend RdD04T 6X0 Dublin</t>
  </si>
  <si>
    <t>1760</t>
  </si>
  <si>
    <t>PR20001168</t>
  </si>
  <si>
    <t>129076454</t>
  </si>
  <si>
    <t>Arup Deutschland GmbH</t>
  </si>
  <si>
    <t>Germany</t>
  </si>
  <si>
    <t>Arup Deutschland GmbHJoachimstaler Strasse 4110623 Berlin</t>
  </si>
  <si>
    <t>PR20001169</t>
  </si>
  <si>
    <t>129081908</t>
  </si>
  <si>
    <t>Ove Arup &amp; Partners Ireland Limited1 Albert QuayT12 X8N6 Cork</t>
  </si>
  <si>
    <t>1410</t>
  </si>
  <si>
    <t>1040</t>
  </si>
  <si>
    <t>1740</t>
  </si>
  <si>
    <t>PR20001170</t>
  </si>
  <si>
    <t>129076493</t>
  </si>
  <si>
    <t>Arup BV</t>
  </si>
  <si>
    <t>Netherlands</t>
  </si>
  <si>
    <t>Arup BVBeta BuildingNaritaweg 1181043 CA Amsterdam</t>
  </si>
  <si>
    <t>PR20001175</t>
  </si>
  <si>
    <t>129082033</t>
  </si>
  <si>
    <t>PR20001191</t>
  </si>
  <si>
    <t>129082122</t>
  </si>
  <si>
    <t>PR20001207</t>
  </si>
  <si>
    <t>129083129</t>
  </si>
  <si>
    <t>Arup (Pty) Ltd</t>
  </si>
  <si>
    <t>South Africa</t>
  </si>
  <si>
    <t>Arup (Pty) LtdPostnet Suite No.93 Private Bag X1  Melrose Arch10 High Street2076 Johannesburg</t>
  </si>
  <si>
    <t>B14E8AV</t>
  </si>
  <si>
    <t>BU IDS U9285HX fWWAN Fury 16 G1i</t>
  </si>
  <si>
    <t>HP ZBook Fury G1i 16 inch Mobile Workstation PC IDS Base Model</t>
  </si>
  <si>
    <t>HP ZBook Fury G1i 16 inch Mobile Workstation PC</t>
  </si>
  <si>
    <t>PR20001240</t>
  </si>
  <si>
    <t>129346765</t>
  </si>
  <si>
    <t>オーヴ・アラップ・アンド・パートナーズ・ジャパン・リミテッド</t>
  </si>
  <si>
    <t>Japan</t>
  </si>
  <si>
    <t>オーヴ・アラップ・アンド・パートナーズ・ジャパン・リミテッド富士見２－１０－２飯田橋グラン・ブルーム８Ｆ102-0071 千代田区</t>
  </si>
  <si>
    <t>D10CHEC#ABJ</t>
  </si>
  <si>
    <t>BOM5 Arup Zbook Fury G1i 16</t>
  </si>
  <si>
    <t>0070</t>
  </si>
  <si>
    <t>PR20002054</t>
  </si>
  <si>
    <t>129223260</t>
  </si>
  <si>
    <t>Arup US, Inc19th Floor140 BroadwayNew York 10005-1108</t>
  </si>
  <si>
    <t>AW5M5UT#ABA</t>
  </si>
  <si>
    <t>HP TB4 Ultra 280W G6 Dock US</t>
  </si>
  <si>
    <t>HP Thunderbolt 4 Ultra 280W G6 Dock</t>
  </si>
  <si>
    <t>Port Replicators/Dongles/Docking</t>
  </si>
  <si>
    <t>Thunderbolt Docking</t>
  </si>
  <si>
    <t>PR20002513</t>
  </si>
  <si>
    <t>129314804</t>
  </si>
  <si>
    <t>PR20002514</t>
  </si>
  <si>
    <t>129315042</t>
  </si>
  <si>
    <t>Ove Arup &amp; Partners</t>
  </si>
  <si>
    <t>United Kingdom</t>
  </si>
  <si>
    <t>Arup1 West Regent Street7th FloorG2 1RW Glasgow</t>
  </si>
  <si>
    <t>PR20002515</t>
  </si>
  <si>
    <t>129315030</t>
  </si>
  <si>
    <t>Arup6th Floor3 Piccadilly PlaceM1 3BN Manchester</t>
  </si>
  <si>
    <t>PR20002516</t>
  </si>
  <si>
    <t>129314962</t>
  </si>
  <si>
    <t>Arup3rd Floor16-22 Bedford StreetBT2 7FD Belfast</t>
  </si>
  <si>
    <t>PR20002517</t>
  </si>
  <si>
    <t>129314846</t>
  </si>
  <si>
    <t>Arup8-13 Brunswick PlaceSO15 2AP Southampton</t>
  </si>
  <si>
    <t>Truck {Customer Pick Up}</t>
  </si>
  <si>
    <t>PR20002518</t>
  </si>
  <si>
    <t>129314924</t>
  </si>
  <si>
    <t>ArupFloor 510 George StreetEH2 2PF Edinburgh</t>
  </si>
  <si>
    <t>PR2000283</t>
  </si>
  <si>
    <t>128963564</t>
  </si>
  <si>
    <t>Ove Arup &amp; Partners Intl Ltd</t>
  </si>
  <si>
    <t>Ove Arup &amp; Partnters International8 Fitzroy StreetW1T 4BJ London</t>
  </si>
  <si>
    <t>PR20003075</t>
  </si>
  <si>
    <t>129414482</t>
  </si>
  <si>
    <t>PR20003189</t>
  </si>
  <si>
    <t>129444606</t>
  </si>
  <si>
    <t>Ove Arup &amp; Partners Intl Ltd1 West Regent Street7th FloorG2 1RW Glasgow</t>
  </si>
  <si>
    <t>8X220AA</t>
  </si>
  <si>
    <t>Poly BW 3320 Stereo -M USB-C HS +USB-C/A</t>
  </si>
  <si>
    <t>Blackwire 3320 M USB-C</t>
  </si>
  <si>
    <t>Blackwire 3300 series</t>
  </si>
  <si>
    <t>0030</t>
  </si>
  <si>
    <t>PR20003670</t>
  </si>
  <si>
    <t>129535979</t>
  </si>
  <si>
    <t>ARUP CANADA INC</t>
  </si>
  <si>
    <t>CA</t>
  </si>
  <si>
    <t>Canada</t>
  </si>
  <si>
    <t>ARUP CANADA INC121 BLOOR ST EM4W 3M5 TORONTO</t>
  </si>
  <si>
    <t>1P3K6AA#ABA</t>
  </si>
  <si>
    <t>HP 65W USB-C LC Power Adapter US</t>
  </si>
  <si>
    <t>HP 65W USB-C LC Power Adapter</t>
  </si>
  <si>
    <t>AC Adapter 65W</t>
  </si>
  <si>
    <t>PR20003759</t>
  </si>
  <si>
    <t>129567391</t>
  </si>
  <si>
    <t>PR20004900</t>
  </si>
  <si>
    <t>129779868</t>
  </si>
  <si>
    <t>ARUP AUSTRALIA SERVICES PTY LTD.</t>
  </si>
  <si>
    <t>Australia</t>
  </si>
  <si>
    <t>Arup Australia Services Pty LtdLoading dock is 118 Charlotte Brisbane City, QLDlevel 26/123 Albert StreetBrisbane City, QLDBRISBANE 4000</t>
  </si>
  <si>
    <t>PR20004909</t>
  </si>
  <si>
    <t>129809624</t>
  </si>
  <si>
    <t>ARUP SINGAPORE PTE LTD</t>
  </si>
  <si>
    <t>Singapore</t>
  </si>
  <si>
    <t>ARUP SINGAPORE PTE LTD#06-01 FRASERS TOWER182 CECIL STREET069547 SINGAPORE</t>
  </si>
  <si>
    <t>PR20004910</t>
  </si>
  <si>
    <t>129809188</t>
  </si>
  <si>
    <t>ARUP JURURUNDING SDN BHD</t>
  </si>
  <si>
    <t>Malaysia</t>
  </si>
  <si>
    <t>ARUP JURURUNDING SDN BHDPERSIARAN BANDAR UTAMA,BANDAR UTAMA PETALING JAYA1POWERHOUSE LEVEL 26,NO, 147800 Selangor</t>
  </si>
  <si>
    <t>ARUP JURURUNDING SDN BHDPERSIARAN BANDAR UTAMA,BANDAR UTAMA PETALING JAYA1POWERHOUSE LEVEL 26,NO, 1PETALING JAYA47800 Selangor</t>
  </si>
  <si>
    <t>0330</t>
  </si>
  <si>
    <t>PR20004911</t>
  </si>
  <si>
    <t>129809440</t>
  </si>
  <si>
    <t>ARUP JURURUNDING SDN BHDLEVEL 6  LOTS L6.01 - L6.09 GURNEY PARAGON MALL163-D PERSIARAN GURNEYGURNEY PARAGON MALL10250 PENANG</t>
  </si>
  <si>
    <t>PR20005464</t>
  </si>
  <si>
    <t>129872408</t>
  </si>
  <si>
    <t>ARUP - SEATTLESTE 4001191 2ND AVESEATTLE 98101-3438</t>
  </si>
  <si>
    <t>PR20005658</t>
  </si>
  <si>
    <t>129940829</t>
  </si>
  <si>
    <t>ARUP AUSTRALIA SERVICES PTY LTD</t>
  </si>
  <si>
    <t>Arup Australia Service Pty LtdLoading dock is 118 CharlotteLevel 26/123 Albert StreetBRISBANE 4000</t>
  </si>
  <si>
    <t>A96ZPAV</t>
  </si>
  <si>
    <t>BU HP Z2 Mini G1i IDS</t>
  </si>
  <si>
    <t>HP Z2 Mini G1i Workstation Desktop PC IDS Base Model</t>
  </si>
  <si>
    <t>HP Z2 Mini G1i Workstation Desktop PC</t>
  </si>
  <si>
    <t>PR20006007</t>
  </si>
  <si>
    <t>129973705</t>
  </si>
  <si>
    <t>ARUP CANADA INC121 BLOOR ST E FLOOR 11M4W 3M5 TORONTO</t>
  </si>
  <si>
    <t>8X231A6</t>
  </si>
  <si>
    <t>Poly BW 5220 USB-C HS +USB-C/A (Bulk)</t>
  </si>
  <si>
    <t>9VA80AA#ABA</t>
  </si>
  <si>
    <t>HP 320M Wired Mouse</t>
  </si>
  <si>
    <t>HP Wired Desktop 320M Mouse</t>
  </si>
  <si>
    <t>Mice/Pens/Other Pointing Devices</t>
  </si>
  <si>
    <t>Wired Mice</t>
  </si>
  <si>
    <t>PR20006154</t>
  </si>
  <si>
    <t>130005556</t>
  </si>
  <si>
    <t>ARUP - HOUSTONSTE 47510370 RICHMOND AVEHOUSTON 77042-4141</t>
  </si>
  <si>
    <t>9D9A7AA#ABA</t>
  </si>
  <si>
    <t>HP S5 Pro 524pn WUXGA MNTR US</t>
  </si>
  <si>
    <t>PR20006155</t>
  </si>
  <si>
    <t>130005856</t>
  </si>
  <si>
    <t>PR20006672</t>
  </si>
  <si>
    <t>130110139</t>
  </si>
  <si>
    <t>Arup Downtown Los Angeles19th Floor900 WILSHIRE BLVDLOS ANGELES 90017-4701</t>
  </si>
  <si>
    <t>PR20006793</t>
  </si>
  <si>
    <t>130131015</t>
  </si>
  <si>
    <t>ARUP-CHICAGOSTE 180035 E WACKER DRCHICAGO 60601-2314</t>
  </si>
  <si>
    <t>PR20006906</t>
  </si>
  <si>
    <t>130165485</t>
  </si>
  <si>
    <t>PR2000756</t>
  </si>
  <si>
    <t>129013529</t>
  </si>
  <si>
    <t>UK_PRPO5025</t>
  </si>
  <si>
    <t>128712738</t>
  </si>
  <si>
    <t>Ove Arup &amp; Partners Ltd8 Fitzroy StreetW1T 4BJ London</t>
  </si>
  <si>
    <t>UK_PRPO5057</t>
  </si>
  <si>
    <t>128730119</t>
  </si>
  <si>
    <t>Ove Arup &amp; Partners International L8 Fitzroy StreetW1T 4BJ London</t>
  </si>
  <si>
    <t>US_PO406</t>
  </si>
  <si>
    <t>127433287</t>
  </si>
  <si>
    <t>ShipmentCanceled</t>
  </si>
  <si>
    <t>US_PO570</t>
  </si>
  <si>
    <t>128827406</t>
  </si>
  <si>
    <t>Arup US, Inc.20th Floor140 BroadwayNew York 10005-1108</t>
  </si>
  <si>
    <t>Standard LT</t>
  </si>
  <si>
    <t>OTD Days</t>
  </si>
  <si>
    <t>OTD weeks</t>
  </si>
  <si>
    <t>Actions / Guidance</t>
  </si>
  <si>
    <t>Accessories</t>
  </si>
  <si>
    <t>Displays</t>
  </si>
  <si>
    <t>Mobile Workstations</t>
  </si>
  <si>
    <t>6 - 8 WK</t>
  </si>
  <si>
    <t>Notebooks</t>
  </si>
  <si>
    <t>10 - 12 WK</t>
  </si>
  <si>
    <t>10 - 16 WK</t>
  </si>
  <si>
    <t>10 - 14 WK</t>
  </si>
  <si>
    <t>Preliminary ETAs, will probably improve in the following weeks</t>
  </si>
  <si>
    <t>Planned delivery date improved from 26Sept&gt;25Aug. We have been seeing increased delivery times for the latest orders for this model, please take into consideration for future orders.</t>
  </si>
  <si>
    <t>This order was supposed to be delivered on the 4th of Aug, however, the delivery date has been postponed due to increased activity at CTP, We have requested priority and hopefully will see an improvement in the delivery date.</t>
  </si>
  <si>
    <t>This order was supposed to be delivered on the 7th of August, however, the delivery date has been postponed due to increased activity at CTP, We have requested priority and hopefully will see an improvement in the delivery date.</t>
  </si>
  <si>
    <t>This order was supposed to be delivered on the 14th of August, however, the delivery date has been postponed due to increased activity at CTP, We have requested priority and hopefully will see an improvement in the delivery date.</t>
  </si>
  <si>
    <t>This order received ETAs on the 16th of July, doesn’t have any blocking codes and has SB prio. ETA is calculated based on when the next batch of components will be available. Actual ship date may vary.</t>
  </si>
  <si>
    <t>This order received ETAs on the 15th of July, doesn’t have any blocking codes and has SB prio. ETA is calculated based on when the next batch of components will be available. Actual ship date may vary.</t>
  </si>
  <si>
    <t>This order was supposed to be delivered on the 23th of July, however, the delivery date has been postponed due to increased activity at CTP, We have requested priority and hopefully will see an improvement in the delivery date.</t>
  </si>
  <si>
    <t>This order was supposed to be delivered on the 13th of August, however, the delivery date has been postponed due to increased activity at CTP, We have requested priority and hopefully will see an improvement in the delivery date.</t>
  </si>
  <si>
    <t>This order was supposed to be delivered on the 29th of July, however, the delivery date has been postponed due to increased activity at CTP, We have requested priority and hopefully will see an improvement in the delivery date.</t>
  </si>
  <si>
    <t>Indirect order - Lead times are shlightly increased versus Direct if the product is not on the partner's stock.</t>
  </si>
  <si>
    <t>This order was supposed to be delivered on the 11th of August, however, the delivery date has been postponed due to increased activity at CTP, We have requested priority and hopefully will see an improvement in the delivery date.</t>
  </si>
  <si>
    <t>This order was supposed to be delivered on the 10th of August, however, the delivery date has been postponed due to increased activity at CTP, We have requested priority and hopefully will see an improvement in the delivery date.</t>
  </si>
  <si>
    <t>This order was supposed to be delivered on the 3rd of August, however, the delivery date has been postponed due to increased activity at CTP, We have requested priority and hopefully will see an improvement in the delivery date.</t>
  </si>
  <si>
    <t>This order received ETAs on the 22nd of July, doesn’t have any blocking codes and has the SB prioritization flag. ETA is calculated based on when the next batch of components will be available. This is a soft commit date and might be improved.</t>
  </si>
  <si>
    <t>This order was supposed to be delivered on Aug 26th, however, dummy dates have been applied. This is under inverstigation with CTP, but the initial answer we received is that they are awaiting aditional information from Arup's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</si>
</sst>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409]dd\-mmm\-yy;@"/>
  </numFmts>
  <fonts count="28" x14ac:knownFonts="1">
    <font>
      <sz val="10"/>
      <color indexed="0"/>
      <name val="Verdana"/>
      <charset val="1"/>
    </font>
    <font>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b/>
      <sz val="10"/>
      <color indexed="0"/>
      <name val="Verdana"/>
      <family val="2"/>
    </font>
    <font>
      <sz val="10"/>
      <color indexed="0"/>
      <name val="Verdana"/>
      <family val="2"/>
    </font>
    <font>
      <sz val="10"/>
      <color rgb="FFFF0000"/>
      <name val="Verdana"/>
      <family val="2"/>
    </font>
  </fonts>
  <fills count="4">
    <fill>
      <patternFill patternType="none"/>
    </fill>
    <fill>
      <patternFill patternType="gray125"/>
    </fill>
    <fill>
      <patternFill patternType="solid">
        <fgColor theme="5" tint="0.39997558519241921"/>
        <bgColor indexed="64"/>
      </patternFill>
    </fill>
    <fill>
      <patternFill patternType="solid">
        <fgColor theme="0" tint="-4.9989318521683403E-2"/>
        <bgColor indexed="64"/>
      </patternFill>
    </fill>
  </fills>
  <borders count="2">
    <border>
      <left/>
      <right/>
      <top/>
      <bottom/>
      <diagonal/>
    </border>
    <border>
      <left/>
      <right/>
      <top/>
      <bottom style="thin">
        <color indexed="64"/>
      </bottom>
      <diagonal/>
    </border>
  </borders>
  <cellStyleXfs count="1">
    <xf numFmtId="0" fontId="0" fillId="0" borderId="0"/>
  </cellStyleXfs>
  <cellXfs count="34">
    <xf numFmtId="0" fontId="0" fillId="0" borderId="0" xfId="0"/>
    <xf numFmtId="0" fontId="2" fillId="0" borderId="1" xfId="0" applyFont="1" applyBorder="1"/>
    <xf numFmtId="0" fontId="3" fillId="0" borderId="1" xfId="0" applyFont="1" applyBorder="1"/>
    <xf numFmtId="0" fontId="4" fillId="0" borderId="1" xfId="0" applyFont="1" applyBorder="1"/>
    <xf numFmtId="0" fontId="5" fillId="0" borderId="1" xfId="0" applyFont="1" applyBorder="1"/>
    <xf numFmtId="0" fontId="6" fillId="0" borderId="1" xfId="0" applyFont="1" applyBorder="1"/>
    <xf numFmtId="0" fontId="7" fillId="0" borderId="1" xfId="0" applyFont="1" applyBorder="1"/>
    <xf numFmtId="0" fontId="8" fillId="0" borderId="1" xfId="0" applyFont="1" applyBorder="1"/>
    <xf numFmtId="0" fontId="9" fillId="0" borderId="1" xfId="0" applyFont="1" applyBorder="1"/>
    <xf numFmtId="0" fontId="14" fillId="0" borderId="1" xfId="0" applyFont="1" applyBorder="1"/>
    <xf numFmtId="0" fontId="15" fillId="0" borderId="1" xfId="0" applyFont="1" applyBorder="1"/>
    <xf numFmtId="0" fontId="16" fillId="0" borderId="1" xfId="0" applyFont="1" applyBorder="1"/>
    <xf numFmtId="0" fontId="17" fillId="0" borderId="1" xfId="0" applyFont="1" applyBorder="1"/>
    <xf numFmtId="0" fontId="18" fillId="0" borderId="1" xfId="0" applyFont="1" applyBorder="1"/>
    <xf numFmtId="0" fontId="19" fillId="0" borderId="1" xfId="0" applyFont="1" applyBorder="1"/>
    <xf numFmtId="0" fontId="20" fillId="0" borderId="1" xfId="0" applyFont="1" applyBorder="1"/>
    <xf numFmtId="0" fontId="21" fillId="0" borderId="1" xfId="0" applyFont="1" applyBorder="1"/>
    <xf numFmtId="0" fontId="22" fillId="0" borderId="1" xfId="0" applyFont="1" applyBorder="1"/>
    <xf numFmtId="0" fontId="23" fillId="0" borderId="1" xfId="0" applyFont="1" applyBorder="1"/>
    <xf numFmtId="0" fontId="24" fillId="0" borderId="1" xfId="0" applyFont="1" applyBorder="1"/>
    <xf numFmtId="0" fontId="25" fillId="0" borderId="1" xfId="0" applyFont="1" applyBorder="1"/>
    <xf numFmtId="0" fontId="26" fillId="0" borderId="0" xfId="0" applyFont="1"/>
    <xf numFmtId="1" fontId="0" fillId="0" borderId="0" xfId="0" applyNumberFormat="1"/>
    <xf numFmtId="173" fontId="0" fillId="0" borderId="0" xfId="0" applyNumberFormat="1"/>
    <xf numFmtId="1" fontId="0" fillId="2" borderId="0" xfId="0" applyNumberFormat="1" applyFill="1"/>
    <xf numFmtId="1" fontId="0" fillId="3" borderId="0" xfId="0" applyNumberFormat="1" applyFill="1"/>
    <xf numFmtId="173" fontId="27" fillId="0" borderId="0" xfId="0" applyNumberFormat="1" applyFont="1"/>
    <xf numFmtId="0" fontId="1" fillId="0" borderId="0" xfId="0" applyFont="1"/>
    <xf numFmtId="0" fontId="10" fillId="0" borderId="1" xfId="0" applyFont="1" applyBorder="1" applyAlignment="1">
      <alignment horizontal="center"/>
    </xf>
    <xf numFmtId="0" fontId="11" fillId="0" borderId="1" xfId="0" applyFont="1" applyBorder="1" applyAlignment="1">
      <alignment horizontal="center"/>
    </xf>
    <xf numFmtId="0" fontId="12" fillId="0" borderId="1" xfId="0" applyFont="1" applyBorder="1" applyAlignment="1">
      <alignment horizontal="center"/>
    </xf>
    <xf numFmtId="0" fontId="13" fillId="0" borderId="1" xfId="0" applyFont="1" applyBorder="1" applyAlignment="1">
      <alignment horizontal="center"/>
    </xf>
    <xf numFmtId="173" fontId="0" fillId="0" borderId="0" xfId="0" applyNumberForma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0A9D-D4CD-42D0-9BCB-80095A4B5C83}">
  <sheetPr filterMode="1"/>
  <dimension ref="A1:AA81"/>
  <sheetViews>
    <sheetView tabSelected="1" zoomScaleNormal="100" workbookViewId="0"/>
  </sheetViews>
  <sheetFormatPr defaultColWidth="10.921875" defaultRowHeight="13.5" x14ac:dyDescent="0.3"/>
  <cols>
    <col min="1" max="2" width="10.921875" customWidth="1"/>
    <col min="3" max="5" width="10.921875" hidden="1" customWidth="1"/>
    <col min="6" max="6" width="17.61328125" bestFit="1" customWidth="1"/>
    <col min="7" max="7" width="117.3828125" customWidth="1"/>
    <col min="8" max="8" width="15.3828125" bestFit="1" customWidth="1"/>
    <col min="9" max="10" width="10.921875" style="33" customWidth="1"/>
    <col min="11" max="11" width="19.4609375" style="33" bestFit="1" customWidth="1"/>
    <col min="12" max="12" width="22.921875" style="33" bestFit="1" customWidth="1"/>
    <col min="13" max="13" width="10.921875" hidden="1" customWidth="1"/>
    <col min="14" max="14" width="0" hidden="1" customWidth="1"/>
    <col min="16" max="16" width="0" hidden="1" customWidth="1"/>
    <col min="17" max="17" width="37.53515625" hidden="1" customWidth="1"/>
    <col min="18" max="18" width="53.4609375" bestFit="1" customWidth="1"/>
    <col min="19" max="19" width="0" hidden="1" customWidth="1"/>
    <col min="20" max="20" width="40.53515625" hidden="1" customWidth="1"/>
    <col min="22" max="22" width="10.921875" customWidth="1"/>
    <col min="23" max="23" width="0" hidden="1" customWidth="1"/>
  </cols>
  <sheetData>
    <row r="1" spans="1:27" x14ac:dyDescent="0.3">
      <c r="A1" s="1" t="s">
        <v>0</v>
      </c>
      <c r="B1" s="2" t="s">
        <v>1</v>
      </c>
      <c r="C1" s="3" t="s">
        <v>2</v>
      </c>
      <c r="D1" s="4" t="s">
        <v>3</v>
      </c>
      <c r="E1" s="5" t="s">
        <v>4</v>
      </c>
      <c r="F1" s="6" t="s">
        <v>5</v>
      </c>
      <c r="G1" s="7" t="s">
        <v>6</v>
      </c>
      <c r="H1" s="8" t="s">
        <v>7</v>
      </c>
      <c r="I1" s="28" t="s">
        <v>8</v>
      </c>
      <c r="J1" s="29" t="s">
        <v>9</v>
      </c>
      <c r="K1" s="30" t="s">
        <v>10</v>
      </c>
      <c r="L1" s="31" t="s">
        <v>11</v>
      </c>
      <c r="M1" s="9" t="s">
        <v>12</v>
      </c>
      <c r="N1" s="10" t="s">
        <v>13</v>
      </c>
      <c r="O1" s="11" t="s">
        <v>14</v>
      </c>
      <c r="P1" s="12" t="s">
        <v>15</v>
      </c>
      <c r="Q1" s="13" t="s">
        <v>16</v>
      </c>
      <c r="R1" s="14" t="s">
        <v>17</v>
      </c>
      <c r="S1" s="15" t="s">
        <v>18</v>
      </c>
      <c r="T1" s="16" t="s">
        <v>19</v>
      </c>
      <c r="U1" s="17" t="s">
        <v>20</v>
      </c>
      <c r="V1" s="18" t="s">
        <v>21</v>
      </c>
      <c r="W1" s="19" t="s">
        <v>22</v>
      </c>
      <c r="X1" s="20" t="s">
        <v>322</v>
      </c>
      <c r="Y1" s="20" t="s">
        <v>323</v>
      </c>
      <c r="Z1" s="20" t="s">
        <v>324</v>
      </c>
      <c r="AA1" s="20" t="s">
        <v>325</v>
      </c>
    </row>
    <row r="2" spans="1:27" hidden="1" x14ac:dyDescent="0.3">
      <c r="A2" t="s">
        <v>310</v>
      </c>
      <c r="B2" t="s">
        <v>311</v>
      </c>
      <c r="C2" t="s">
        <v>228</v>
      </c>
      <c r="D2" t="s">
        <v>27</v>
      </c>
      <c r="E2" t="s">
        <v>28</v>
      </c>
      <c r="F2" t="s">
        <v>211</v>
      </c>
      <c r="G2" t="s">
        <v>312</v>
      </c>
      <c r="H2" t="s">
        <v>45</v>
      </c>
      <c r="I2" s="23">
        <v>46126</v>
      </c>
      <c r="J2" s="23">
        <v>46126</v>
      </c>
      <c r="K2" s="26">
        <v>46752</v>
      </c>
      <c r="L2" s="26">
        <v>46765</v>
      </c>
      <c r="M2" t="s">
        <v>32</v>
      </c>
      <c r="N2" t="s">
        <v>186</v>
      </c>
      <c r="O2">
        <v>10</v>
      </c>
      <c r="P2">
        <v>45180.33</v>
      </c>
      <c r="Q2" t="s">
        <v>187</v>
      </c>
      <c r="R2" t="s">
        <v>188</v>
      </c>
      <c r="S2" t="s">
        <v>49</v>
      </c>
      <c r="T2" t="s">
        <v>189</v>
      </c>
      <c r="U2" t="s">
        <v>328</v>
      </c>
      <c r="V2" t="s">
        <v>38</v>
      </c>
      <c r="W2" t="s">
        <v>39</v>
      </c>
      <c r="X2" s="21" t="s">
        <v>332</v>
      </c>
      <c r="Y2" s="22">
        <f t="shared" ref="Y2:Y33" si="0">L2-J2</f>
        <v>639</v>
      </c>
      <c r="Z2" s="24">
        <f t="shared" ref="Z2:Z33" si="1">Y2/7</f>
        <v>91.285714285714292</v>
      </c>
      <c r="AA2" s="27" t="s">
        <v>349</v>
      </c>
    </row>
    <row r="3" spans="1:27" hidden="1" x14ac:dyDescent="0.3">
      <c r="A3" t="s">
        <v>313</v>
      </c>
      <c r="B3" t="s">
        <v>314</v>
      </c>
      <c r="C3" t="s">
        <v>228</v>
      </c>
      <c r="D3" t="s">
        <v>27</v>
      </c>
      <c r="E3" t="s">
        <v>28</v>
      </c>
      <c r="F3" t="s">
        <v>211</v>
      </c>
      <c r="G3" t="s">
        <v>315</v>
      </c>
      <c r="H3" t="s">
        <v>45</v>
      </c>
      <c r="I3" s="23">
        <v>46127</v>
      </c>
      <c r="J3" s="23">
        <v>46127</v>
      </c>
      <c r="K3" s="26">
        <v>46752</v>
      </c>
      <c r="L3" s="26">
        <v>46765</v>
      </c>
      <c r="M3" t="s">
        <v>32</v>
      </c>
      <c r="N3" t="s">
        <v>186</v>
      </c>
      <c r="O3">
        <v>10</v>
      </c>
      <c r="P3">
        <v>45180.33</v>
      </c>
      <c r="Q3" t="s">
        <v>187</v>
      </c>
      <c r="R3" t="s">
        <v>188</v>
      </c>
      <c r="S3" t="s">
        <v>49</v>
      </c>
      <c r="T3" t="s">
        <v>189</v>
      </c>
      <c r="U3" t="s">
        <v>328</v>
      </c>
      <c r="V3" t="s">
        <v>38</v>
      </c>
      <c r="W3" t="s">
        <v>145</v>
      </c>
      <c r="X3" s="21" t="s">
        <v>332</v>
      </c>
      <c r="Y3" s="22">
        <f t="shared" si="0"/>
        <v>638</v>
      </c>
      <c r="Z3" s="24">
        <f t="shared" si="1"/>
        <v>91.142857142857139</v>
      </c>
      <c r="AA3" s="27" t="s">
        <v>349</v>
      </c>
    </row>
    <row r="4" spans="1:27" hidden="1" x14ac:dyDescent="0.3">
      <c r="A4" t="s">
        <v>127</v>
      </c>
      <c r="B4" t="s">
        <v>128</v>
      </c>
      <c r="C4" t="s">
        <v>53</v>
      </c>
      <c r="D4" t="s">
        <v>27</v>
      </c>
      <c r="E4" t="s">
        <v>28</v>
      </c>
      <c r="F4" t="s">
        <v>54</v>
      </c>
      <c r="G4" t="s">
        <v>55</v>
      </c>
      <c r="H4" t="s">
        <v>71</v>
      </c>
      <c r="I4" s="23">
        <v>46086</v>
      </c>
      <c r="J4" s="23">
        <v>46086</v>
      </c>
      <c r="K4" s="23">
        <v>46248</v>
      </c>
      <c r="L4" s="23">
        <v>46262</v>
      </c>
      <c r="M4" t="s">
        <v>32</v>
      </c>
      <c r="N4" t="s">
        <v>57</v>
      </c>
      <c r="O4">
        <v>5</v>
      </c>
      <c r="P4">
        <v>9100.2800000000007</v>
      </c>
      <c r="Q4" t="s">
        <v>58</v>
      </c>
      <c r="R4" t="s">
        <v>59</v>
      </c>
      <c r="S4" t="s">
        <v>49</v>
      </c>
      <c r="T4" t="s">
        <v>60</v>
      </c>
      <c r="U4" t="s">
        <v>328</v>
      </c>
      <c r="V4" t="s">
        <v>38</v>
      </c>
      <c r="W4" t="s">
        <v>39</v>
      </c>
      <c r="X4" s="21" t="s">
        <v>331</v>
      </c>
      <c r="Y4" s="22">
        <f t="shared" si="0"/>
        <v>176</v>
      </c>
      <c r="Z4" s="24">
        <f t="shared" si="1"/>
        <v>25.142857142857142</v>
      </c>
      <c r="AA4" s="21" t="s">
        <v>336</v>
      </c>
    </row>
    <row r="5" spans="1:27" x14ac:dyDescent="0.3">
      <c r="A5" t="s">
        <v>306</v>
      </c>
      <c r="B5" t="s">
        <v>307</v>
      </c>
      <c r="C5" t="s">
        <v>254</v>
      </c>
      <c r="D5" t="s">
        <v>27</v>
      </c>
      <c r="E5" t="s">
        <v>75</v>
      </c>
      <c r="F5" t="s">
        <v>255</v>
      </c>
      <c r="G5" t="s">
        <v>256</v>
      </c>
      <c r="H5" t="s">
        <v>78</v>
      </c>
      <c r="I5" s="32">
        <v>46248</v>
      </c>
      <c r="J5" s="32">
        <v>46260</v>
      </c>
      <c r="K5" s="32">
        <v>46414</v>
      </c>
      <c r="L5" s="32">
        <v>46422</v>
      </c>
      <c r="M5" t="s">
        <v>99</v>
      </c>
      <c r="N5" t="s">
        <v>286</v>
      </c>
      <c r="O5">
        <v>120</v>
      </c>
      <c r="P5">
        <v>7154.51</v>
      </c>
      <c r="Q5" t="s">
        <v>287</v>
      </c>
      <c r="R5" t="s">
        <v>124</v>
      </c>
      <c r="S5" t="s">
        <v>125</v>
      </c>
      <c r="T5" t="s">
        <v>126</v>
      </c>
      <c r="U5" t="s">
        <v>326</v>
      </c>
      <c r="V5" t="s">
        <v>38</v>
      </c>
      <c r="W5" t="s">
        <v>39</v>
      </c>
      <c r="X5" t="s">
        <v>329</v>
      </c>
      <c r="Y5" s="22">
        <f t="shared" si="0"/>
        <v>162</v>
      </c>
      <c r="Z5" s="24">
        <f t="shared" si="1"/>
        <v>23.142857142857142</v>
      </c>
      <c r="AA5" s="21" t="s">
        <v>334</v>
      </c>
    </row>
    <row r="6" spans="1:27" hidden="1" x14ac:dyDescent="0.3">
      <c r="A6" t="s">
        <v>140</v>
      </c>
      <c r="B6" t="s">
        <v>141</v>
      </c>
      <c r="C6" t="s">
        <v>142</v>
      </c>
      <c r="D6" t="s">
        <v>27</v>
      </c>
      <c r="E6" t="s">
        <v>28</v>
      </c>
      <c r="F6" t="s">
        <v>143</v>
      </c>
      <c r="G6" t="s">
        <v>144</v>
      </c>
      <c r="H6" t="s">
        <v>45</v>
      </c>
      <c r="I6" s="23">
        <v>46127</v>
      </c>
      <c r="J6" s="23">
        <v>46127</v>
      </c>
      <c r="K6" s="23">
        <v>46254</v>
      </c>
      <c r="L6" s="23">
        <v>46261</v>
      </c>
      <c r="M6" t="s">
        <v>32</v>
      </c>
      <c r="N6" t="s">
        <v>46</v>
      </c>
      <c r="O6">
        <v>10</v>
      </c>
      <c r="P6">
        <v>28500.06</v>
      </c>
      <c r="Q6" t="s">
        <v>47</v>
      </c>
      <c r="R6" t="s">
        <v>48</v>
      </c>
      <c r="S6" t="s">
        <v>49</v>
      </c>
      <c r="T6" t="s">
        <v>50</v>
      </c>
      <c r="U6" t="s">
        <v>328</v>
      </c>
      <c r="V6" t="s">
        <v>38</v>
      </c>
      <c r="W6" t="s">
        <v>39</v>
      </c>
      <c r="X6" s="21" t="s">
        <v>333</v>
      </c>
      <c r="Y6" s="22">
        <f t="shared" si="0"/>
        <v>134</v>
      </c>
      <c r="Z6" s="24">
        <f t="shared" si="1"/>
        <v>19.142857142857142</v>
      </c>
      <c r="AA6" s="21" t="s">
        <v>337</v>
      </c>
    </row>
    <row r="7" spans="1:27" hidden="1" x14ac:dyDescent="0.3">
      <c r="A7" t="s">
        <v>146</v>
      </c>
      <c r="B7" t="s">
        <v>147</v>
      </c>
      <c r="C7" t="s">
        <v>142</v>
      </c>
      <c r="D7" t="s">
        <v>27</v>
      </c>
      <c r="E7" t="s">
        <v>28</v>
      </c>
      <c r="F7" t="s">
        <v>143</v>
      </c>
      <c r="G7" t="s">
        <v>148</v>
      </c>
      <c r="H7" t="s">
        <v>45</v>
      </c>
      <c r="I7" s="23">
        <v>46127</v>
      </c>
      <c r="J7" s="23">
        <v>46132</v>
      </c>
      <c r="K7" s="23">
        <v>46254</v>
      </c>
      <c r="L7" s="23">
        <v>46261</v>
      </c>
      <c r="M7" t="s">
        <v>32</v>
      </c>
      <c r="N7" t="s">
        <v>46</v>
      </c>
      <c r="O7">
        <v>10</v>
      </c>
      <c r="P7">
        <v>28500.06</v>
      </c>
      <c r="Q7" t="s">
        <v>47</v>
      </c>
      <c r="R7" t="s">
        <v>48</v>
      </c>
      <c r="S7" t="s">
        <v>49</v>
      </c>
      <c r="T7" t="s">
        <v>50</v>
      </c>
      <c r="U7" t="s">
        <v>328</v>
      </c>
      <c r="V7" t="s">
        <v>38</v>
      </c>
      <c r="W7" t="s">
        <v>39</v>
      </c>
      <c r="X7" s="21" t="s">
        <v>333</v>
      </c>
      <c r="Y7" s="22">
        <f t="shared" si="0"/>
        <v>129</v>
      </c>
      <c r="Z7" s="24">
        <f t="shared" si="1"/>
        <v>18.428571428571427</v>
      </c>
      <c r="AA7" s="21" t="s">
        <v>337</v>
      </c>
    </row>
    <row r="8" spans="1:27" hidden="1" x14ac:dyDescent="0.3">
      <c r="A8" t="s">
        <v>166</v>
      </c>
      <c r="B8" t="s">
        <v>167</v>
      </c>
      <c r="C8" t="s">
        <v>109</v>
      </c>
      <c r="D8" t="s">
        <v>27</v>
      </c>
      <c r="E8" t="s">
        <v>28</v>
      </c>
      <c r="F8" t="s">
        <v>29</v>
      </c>
      <c r="G8" t="s">
        <v>168</v>
      </c>
      <c r="H8" t="s">
        <v>45</v>
      </c>
      <c r="I8" s="23">
        <v>46157</v>
      </c>
      <c r="J8" s="23">
        <v>46157</v>
      </c>
      <c r="K8" s="23">
        <v>46272</v>
      </c>
      <c r="L8" s="23">
        <v>46283</v>
      </c>
      <c r="M8" t="s">
        <v>32</v>
      </c>
      <c r="N8" t="s">
        <v>46</v>
      </c>
      <c r="O8">
        <v>24</v>
      </c>
      <c r="P8">
        <v>68399.820000000007</v>
      </c>
      <c r="Q8" t="s">
        <v>47</v>
      </c>
      <c r="R8" t="s">
        <v>48</v>
      </c>
      <c r="S8" t="s">
        <v>49</v>
      </c>
      <c r="T8" t="s">
        <v>50</v>
      </c>
      <c r="U8" t="s">
        <v>328</v>
      </c>
      <c r="V8" t="s">
        <v>38</v>
      </c>
      <c r="W8" t="s">
        <v>62</v>
      </c>
      <c r="X8" s="21" t="s">
        <v>333</v>
      </c>
      <c r="Y8" s="22">
        <f t="shared" si="0"/>
        <v>126</v>
      </c>
      <c r="Z8" s="24">
        <f t="shared" si="1"/>
        <v>18</v>
      </c>
      <c r="AA8" s="21" t="s">
        <v>338</v>
      </c>
    </row>
    <row r="9" spans="1:27" hidden="1" x14ac:dyDescent="0.3">
      <c r="A9" t="s">
        <v>208</v>
      </c>
      <c r="B9" t="s">
        <v>209</v>
      </c>
      <c r="C9" t="s">
        <v>210</v>
      </c>
      <c r="D9" t="s">
        <v>27</v>
      </c>
      <c r="E9" t="s">
        <v>28</v>
      </c>
      <c r="F9" t="s">
        <v>211</v>
      </c>
      <c r="G9" t="s">
        <v>212</v>
      </c>
      <c r="H9" t="s">
        <v>31</v>
      </c>
      <c r="I9" s="23">
        <v>46177</v>
      </c>
      <c r="J9" s="23">
        <v>46177</v>
      </c>
      <c r="K9" s="23">
        <v>46283</v>
      </c>
      <c r="L9" s="23">
        <v>46295</v>
      </c>
      <c r="M9" t="s">
        <v>32</v>
      </c>
      <c r="N9" t="s">
        <v>46</v>
      </c>
      <c r="O9">
        <v>8</v>
      </c>
      <c r="P9">
        <v>29640.3</v>
      </c>
      <c r="Q9" t="s">
        <v>47</v>
      </c>
      <c r="R9" t="s">
        <v>48</v>
      </c>
      <c r="S9" t="s">
        <v>49</v>
      </c>
      <c r="T9" t="s">
        <v>50</v>
      </c>
      <c r="U9" t="s">
        <v>328</v>
      </c>
      <c r="V9" t="s">
        <v>38</v>
      </c>
      <c r="W9" t="s">
        <v>39</v>
      </c>
      <c r="X9" s="21" t="s">
        <v>333</v>
      </c>
      <c r="Y9" s="22">
        <f t="shared" si="0"/>
        <v>118</v>
      </c>
      <c r="Z9" s="24">
        <f t="shared" si="1"/>
        <v>16.857142857142858</v>
      </c>
      <c r="AA9" s="21" t="s">
        <v>339</v>
      </c>
    </row>
    <row r="10" spans="1:27" hidden="1" x14ac:dyDescent="0.3">
      <c r="A10" t="s">
        <v>213</v>
      </c>
      <c r="B10" t="s">
        <v>214</v>
      </c>
      <c r="C10" t="s">
        <v>210</v>
      </c>
      <c r="D10" t="s">
        <v>27</v>
      </c>
      <c r="E10" t="s">
        <v>28</v>
      </c>
      <c r="F10" t="s">
        <v>211</v>
      </c>
      <c r="G10" t="s">
        <v>215</v>
      </c>
      <c r="H10" t="s">
        <v>31</v>
      </c>
      <c r="I10" s="23">
        <v>46177</v>
      </c>
      <c r="J10" s="23">
        <v>46177</v>
      </c>
      <c r="K10" s="23">
        <v>46283</v>
      </c>
      <c r="L10" s="23">
        <v>46295</v>
      </c>
      <c r="M10" t="s">
        <v>32</v>
      </c>
      <c r="N10" t="s">
        <v>46</v>
      </c>
      <c r="O10">
        <v>16</v>
      </c>
      <c r="P10">
        <v>59280.62</v>
      </c>
      <c r="Q10" t="s">
        <v>47</v>
      </c>
      <c r="R10" t="s">
        <v>48</v>
      </c>
      <c r="S10" t="s">
        <v>49</v>
      </c>
      <c r="T10" t="s">
        <v>50</v>
      </c>
      <c r="U10" t="s">
        <v>328</v>
      </c>
      <c r="V10" t="s">
        <v>38</v>
      </c>
      <c r="W10" t="s">
        <v>62</v>
      </c>
      <c r="X10" s="21" t="s">
        <v>333</v>
      </c>
      <c r="Y10" s="22">
        <f t="shared" si="0"/>
        <v>118</v>
      </c>
      <c r="Z10" s="24">
        <f t="shared" si="1"/>
        <v>16.857142857142858</v>
      </c>
      <c r="AA10" s="21" t="s">
        <v>340</v>
      </c>
    </row>
    <row r="11" spans="1:27" hidden="1" x14ac:dyDescent="0.3">
      <c r="A11" t="s">
        <v>219</v>
      </c>
      <c r="B11" t="s">
        <v>220</v>
      </c>
      <c r="C11" t="s">
        <v>210</v>
      </c>
      <c r="D11" t="s">
        <v>27</v>
      </c>
      <c r="E11" t="s">
        <v>28</v>
      </c>
      <c r="F11" t="s">
        <v>211</v>
      </c>
      <c r="G11" t="s">
        <v>221</v>
      </c>
      <c r="H11" t="s">
        <v>31</v>
      </c>
      <c r="I11" s="23">
        <v>46177</v>
      </c>
      <c r="J11" s="23">
        <v>46177</v>
      </c>
      <c r="K11" s="23">
        <v>46283</v>
      </c>
      <c r="L11" s="23">
        <v>46295</v>
      </c>
      <c r="M11" t="s">
        <v>222</v>
      </c>
      <c r="N11" t="s">
        <v>46</v>
      </c>
      <c r="O11">
        <v>6</v>
      </c>
      <c r="P11">
        <v>22230.25</v>
      </c>
      <c r="Q11" t="s">
        <v>47</v>
      </c>
      <c r="R11" t="s">
        <v>48</v>
      </c>
      <c r="S11" t="s">
        <v>49</v>
      </c>
      <c r="T11" t="s">
        <v>50</v>
      </c>
      <c r="U11" t="s">
        <v>328</v>
      </c>
      <c r="V11" t="s">
        <v>38</v>
      </c>
      <c r="W11" t="s">
        <v>39</v>
      </c>
      <c r="X11" s="21" t="s">
        <v>333</v>
      </c>
      <c r="Y11" s="22">
        <f t="shared" si="0"/>
        <v>118</v>
      </c>
      <c r="Z11" s="24">
        <f t="shared" si="1"/>
        <v>16.857142857142858</v>
      </c>
      <c r="AA11" s="21" t="s">
        <v>340</v>
      </c>
    </row>
    <row r="12" spans="1:27" hidden="1" x14ac:dyDescent="0.3">
      <c r="A12" t="s">
        <v>223</v>
      </c>
      <c r="B12" t="s">
        <v>224</v>
      </c>
      <c r="C12" t="s">
        <v>210</v>
      </c>
      <c r="D12" t="s">
        <v>27</v>
      </c>
      <c r="E12" t="s">
        <v>28</v>
      </c>
      <c r="F12" t="s">
        <v>211</v>
      </c>
      <c r="G12" t="s">
        <v>225</v>
      </c>
      <c r="H12" t="s">
        <v>31</v>
      </c>
      <c r="I12" s="23">
        <v>46177</v>
      </c>
      <c r="J12" s="23">
        <v>46177</v>
      </c>
      <c r="K12" s="23">
        <v>46283</v>
      </c>
      <c r="L12" s="23">
        <v>46295</v>
      </c>
      <c r="M12" t="s">
        <v>32</v>
      </c>
      <c r="N12" t="s">
        <v>46</v>
      </c>
      <c r="O12">
        <v>5</v>
      </c>
      <c r="P12">
        <v>18525.11</v>
      </c>
      <c r="Q12" t="s">
        <v>47</v>
      </c>
      <c r="R12" t="s">
        <v>48</v>
      </c>
      <c r="S12" t="s">
        <v>49</v>
      </c>
      <c r="T12" t="s">
        <v>50</v>
      </c>
      <c r="U12" t="s">
        <v>328</v>
      </c>
      <c r="V12" t="s">
        <v>38</v>
      </c>
      <c r="W12" t="s">
        <v>62</v>
      </c>
      <c r="X12" s="21" t="s">
        <v>333</v>
      </c>
      <c r="Y12" s="22">
        <f t="shared" si="0"/>
        <v>118</v>
      </c>
      <c r="Z12" s="24">
        <f t="shared" si="1"/>
        <v>16.857142857142858</v>
      </c>
      <c r="AA12" s="21" t="s">
        <v>340</v>
      </c>
    </row>
    <row r="13" spans="1:27" hidden="1" x14ac:dyDescent="0.3">
      <c r="A13" t="s">
        <v>136</v>
      </c>
      <c r="B13" t="s">
        <v>137</v>
      </c>
      <c r="C13" t="s">
        <v>42</v>
      </c>
      <c r="D13" t="s">
        <v>27</v>
      </c>
      <c r="E13" t="s">
        <v>28</v>
      </c>
      <c r="F13" t="s">
        <v>43</v>
      </c>
      <c r="G13" t="s">
        <v>44</v>
      </c>
      <c r="H13" t="s">
        <v>71</v>
      </c>
      <c r="I13" s="23">
        <v>46135</v>
      </c>
      <c r="J13" s="23">
        <v>46135</v>
      </c>
      <c r="K13" s="23">
        <v>46238</v>
      </c>
      <c r="L13" s="23">
        <v>46251</v>
      </c>
      <c r="M13" t="s">
        <v>32</v>
      </c>
      <c r="N13" t="s">
        <v>46</v>
      </c>
      <c r="O13">
        <v>10</v>
      </c>
      <c r="P13">
        <v>28500.36</v>
      </c>
      <c r="Q13" t="s">
        <v>47</v>
      </c>
      <c r="R13" t="s">
        <v>48</v>
      </c>
      <c r="S13" t="s">
        <v>49</v>
      </c>
      <c r="T13" t="s">
        <v>50</v>
      </c>
      <c r="U13" t="s">
        <v>328</v>
      </c>
      <c r="V13" t="s">
        <v>38</v>
      </c>
      <c r="W13" t="s">
        <v>88</v>
      </c>
      <c r="X13" s="21" t="s">
        <v>333</v>
      </c>
      <c r="Y13" s="22">
        <f t="shared" si="0"/>
        <v>116</v>
      </c>
      <c r="Z13" s="24">
        <f t="shared" si="1"/>
        <v>16.571428571428573</v>
      </c>
      <c r="AA13" s="21" t="s">
        <v>341</v>
      </c>
    </row>
    <row r="14" spans="1:27" hidden="1" x14ac:dyDescent="0.3">
      <c r="A14" t="s">
        <v>157</v>
      </c>
      <c r="B14" t="s">
        <v>158</v>
      </c>
      <c r="C14" t="s">
        <v>109</v>
      </c>
      <c r="D14" t="s">
        <v>27</v>
      </c>
      <c r="E14" t="s">
        <v>28</v>
      </c>
      <c r="F14" t="s">
        <v>29</v>
      </c>
      <c r="G14" t="s">
        <v>159</v>
      </c>
      <c r="H14" t="s">
        <v>45</v>
      </c>
      <c r="I14" s="23">
        <v>46157</v>
      </c>
      <c r="J14" s="23">
        <v>46168</v>
      </c>
      <c r="K14" s="23">
        <v>46272</v>
      </c>
      <c r="L14" s="23">
        <v>46283</v>
      </c>
      <c r="M14" t="s">
        <v>32</v>
      </c>
      <c r="N14" t="s">
        <v>46</v>
      </c>
      <c r="O14">
        <v>44</v>
      </c>
      <c r="P14">
        <v>125399.79</v>
      </c>
      <c r="Q14" t="s">
        <v>47</v>
      </c>
      <c r="R14" t="s">
        <v>48</v>
      </c>
      <c r="S14" t="s">
        <v>49</v>
      </c>
      <c r="T14" t="s">
        <v>50</v>
      </c>
      <c r="U14" t="s">
        <v>328</v>
      </c>
      <c r="V14" t="s">
        <v>38</v>
      </c>
      <c r="W14" t="s">
        <v>62</v>
      </c>
      <c r="X14" s="21" t="s">
        <v>333</v>
      </c>
      <c r="Y14" s="22">
        <f t="shared" si="0"/>
        <v>115</v>
      </c>
      <c r="Z14" s="24">
        <f t="shared" si="1"/>
        <v>16.428571428571427</v>
      </c>
      <c r="AA14" s="21" t="s">
        <v>342</v>
      </c>
    </row>
    <row r="15" spans="1:27" hidden="1" x14ac:dyDescent="0.3">
      <c r="A15" t="s">
        <v>226</v>
      </c>
      <c r="B15" t="s">
        <v>227</v>
      </c>
      <c r="C15" t="s">
        <v>228</v>
      </c>
      <c r="D15" t="s">
        <v>27</v>
      </c>
      <c r="E15" t="s">
        <v>28</v>
      </c>
      <c r="F15" t="s">
        <v>211</v>
      </c>
      <c r="G15" t="s">
        <v>229</v>
      </c>
      <c r="H15" t="s">
        <v>71</v>
      </c>
      <c r="I15" s="23">
        <v>46147</v>
      </c>
      <c r="J15" s="23">
        <v>46147</v>
      </c>
      <c r="K15" s="23">
        <v>46248</v>
      </c>
      <c r="L15" s="23">
        <v>46260</v>
      </c>
      <c r="M15" t="s">
        <v>32</v>
      </c>
      <c r="N15" t="s">
        <v>186</v>
      </c>
      <c r="O15">
        <v>3</v>
      </c>
      <c r="P15">
        <v>13554.08</v>
      </c>
      <c r="Q15" t="s">
        <v>187</v>
      </c>
      <c r="R15" t="s">
        <v>188</v>
      </c>
      <c r="S15" t="s">
        <v>49</v>
      </c>
      <c r="T15" t="s">
        <v>189</v>
      </c>
      <c r="U15" t="s">
        <v>328</v>
      </c>
      <c r="V15" t="s">
        <v>38</v>
      </c>
      <c r="W15" t="s">
        <v>133</v>
      </c>
      <c r="X15" s="21" t="s">
        <v>332</v>
      </c>
      <c r="Y15" s="22">
        <f t="shared" si="0"/>
        <v>113</v>
      </c>
      <c r="Z15" s="22">
        <f t="shared" si="1"/>
        <v>16.142857142857142</v>
      </c>
    </row>
    <row r="16" spans="1:27" hidden="1" x14ac:dyDescent="0.3">
      <c r="A16" t="s">
        <v>181</v>
      </c>
      <c r="B16" t="s">
        <v>182</v>
      </c>
      <c r="C16" t="s">
        <v>183</v>
      </c>
      <c r="D16" t="s">
        <v>27</v>
      </c>
      <c r="E16" t="s">
        <v>28</v>
      </c>
      <c r="F16" t="s">
        <v>184</v>
      </c>
      <c r="G16" t="s">
        <v>185</v>
      </c>
      <c r="H16" t="s">
        <v>45</v>
      </c>
      <c r="I16" s="23">
        <v>46157</v>
      </c>
      <c r="J16" s="23">
        <v>46157</v>
      </c>
      <c r="K16" s="23">
        <v>46258</v>
      </c>
      <c r="L16" s="23">
        <v>46269</v>
      </c>
      <c r="M16" t="s">
        <v>99</v>
      </c>
      <c r="N16" t="s">
        <v>186</v>
      </c>
      <c r="O16">
        <v>1</v>
      </c>
      <c r="P16">
        <v>4772.29</v>
      </c>
      <c r="Q16" t="s">
        <v>187</v>
      </c>
      <c r="R16" t="s">
        <v>188</v>
      </c>
      <c r="S16" t="s">
        <v>49</v>
      </c>
      <c r="T16" t="s">
        <v>189</v>
      </c>
      <c r="U16" t="s">
        <v>328</v>
      </c>
      <c r="V16" t="s">
        <v>38</v>
      </c>
      <c r="W16" t="s">
        <v>62</v>
      </c>
      <c r="X16" s="21" t="s">
        <v>332</v>
      </c>
      <c r="Y16" s="22">
        <f t="shared" si="0"/>
        <v>112</v>
      </c>
      <c r="Z16" s="22">
        <f t="shared" si="1"/>
        <v>16</v>
      </c>
    </row>
    <row r="17" spans="1:27" hidden="1" x14ac:dyDescent="0.3">
      <c r="A17" t="s">
        <v>181</v>
      </c>
      <c r="B17" t="s">
        <v>182</v>
      </c>
      <c r="C17" t="s">
        <v>183</v>
      </c>
      <c r="D17" t="s">
        <v>27</v>
      </c>
      <c r="E17" t="s">
        <v>28</v>
      </c>
      <c r="F17" t="s">
        <v>184</v>
      </c>
      <c r="G17" t="s">
        <v>185</v>
      </c>
      <c r="H17" t="s">
        <v>45</v>
      </c>
      <c r="I17" s="23">
        <v>46157</v>
      </c>
      <c r="J17" s="23">
        <v>46157</v>
      </c>
      <c r="K17" s="23">
        <v>46258</v>
      </c>
      <c r="L17" s="23">
        <v>46269</v>
      </c>
      <c r="M17" t="s">
        <v>99</v>
      </c>
      <c r="N17" t="s">
        <v>46</v>
      </c>
      <c r="O17">
        <v>13</v>
      </c>
      <c r="P17">
        <v>39054.81</v>
      </c>
      <c r="Q17" t="s">
        <v>47</v>
      </c>
      <c r="R17" t="s">
        <v>48</v>
      </c>
      <c r="S17" t="s">
        <v>49</v>
      </c>
      <c r="T17" t="s">
        <v>50</v>
      </c>
      <c r="U17" t="s">
        <v>328</v>
      </c>
      <c r="V17" t="s">
        <v>38</v>
      </c>
      <c r="W17" t="s">
        <v>61</v>
      </c>
      <c r="X17" s="21" t="s">
        <v>333</v>
      </c>
      <c r="Y17" s="22">
        <f t="shared" si="0"/>
        <v>112</v>
      </c>
      <c r="Z17" s="24">
        <f t="shared" si="1"/>
        <v>16</v>
      </c>
      <c r="AA17" s="21" t="s">
        <v>337</v>
      </c>
    </row>
    <row r="18" spans="1:27" hidden="1" x14ac:dyDescent="0.3">
      <c r="A18" t="s">
        <v>51</v>
      </c>
      <c r="B18" t="s">
        <v>52</v>
      </c>
      <c r="C18" t="s">
        <v>53</v>
      </c>
      <c r="D18" t="s">
        <v>27</v>
      </c>
      <c r="E18" t="s">
        <v>28</v>
      </c>
      <c r="F18" t="s">
        <v>54</v>
      </c>
      <c r="G18" t="s">
        <v>55</v>
      </c>
      <c r="H18" t="s">
        <v>45</v>
      </c>
      <c r="I18" s="23">
        <v>46157</v>
      </c>
      <c r="J18" s="23">
        <v>46157</v>
      </c>
      <c r="K18" s="23">
        <v>46258</v>
      </c>
      <c r="L18" s="23">
        <v>46268</v>
      </c>
      <c r="M18" t="s">
        <v>32</v>
      </c>
      <c r="N18" t="s">
        <v>57</v>
      </c>
      <c r="O18">
        <v>6</v>
      </c>
      <c r="P18">
        <v>14031.56</v>
      </c>
      <c r="Q18" t="s">
        <v>58</v>
      </c>
      <c r="R18" t="s">
        <v>59</v>
      </c>
      <c r="S18" t="s">
        <v>49</v>
      </c>
      <c r="T18" t="s">
        <v>60</v>
      </c>
      <c r="U18" t="s">
        <v>328</v>
      </c>
      <c r="V18" t="s">
        <v>38</v>
      </c>
      <c r="W18" t="s">
        <v>61</v>
      </c>
      <c r="X18" s="21" t="s">
        <v>331</v>
      </c>
      <c r="Y18" s="22">
        <f t="shared" si="0"/>
        <v>111</v>
      </c>
      <c r="Z18" s="24">
        <f t="shared" si="1"/>
        <v>15.857142857142858</v>
      </c>
      <c r="AA18" s="21" t="s">
        <v>343</v>
      </c>
    </row>
    <row r="19" spans="1:27" hidden="1" x14ac:dyDescent="0.3">
      <c r="A19" t="s">
        <v>51</v>
      </c>
      <c r="B19" t="s">
        <v>52</v>
      </c>
      <c r="C19" t="s">
        <v>53</v>
      </c>
      <c r="D19" t="s">
        <v>27</v>
      </c>
      <c r="E19" t="s">
        <v>28</v>
      </c>
      <c r="F19" t="s">
        <v>54</v>
      </c>
      <c r="G19" t="s">
        <v>55</v>
      </c>
      <c r="H19" t="s">
        <v>45</v>
      </c>
      <c r="I19" s="23">
        <v>46157</v>
      </c>
      <c r="J19" s="23">
        <v>46157</v>
      </c>
      <c r="K19" s="23">
        <v>46258</v>
      </c>
      <c r="L19" s="23">
        <v>46268</v>
      </c>
      <c r="M19" t="s">
        <v>32</v>
      </c>
      <c r="N19" t="s">
        <v>46</v>
      </c>
      <c r="O19">
        <v>7</v>
      </c>
      <c r="P19">
        <v>19950.07</v>
      </c>
      <c r="Q19" t="s">
        <v>47</v>
      </c>
      <c r="R19" t="s">
        <v>48</v>
      </c>
      <c r="S19" t="s">
        <v>49</v>
      </c>
      <c r="T19" t="s">
        <v>50</v>
      </c>
      <c r="U19" t="s">
        <v>328</v>
      </c>
      <c r="V19" t="s">
        <v>38</v>
      </c>
      <c r="W19" t="s">
        <v>62</v>
      </c>
      <c r="X19" s="21" t="s">
        <v>333</v>
      </c>
      <c r="Y19" s="22">
        <f t="shared" si="0"/>
        <v>111</v>
      </c>
      <c r="Z19" s="24">
        <f t="shared" si="1"/>
        <v>15.857142857142858</v>
      </c>
      <c r="AA19" s="21" t="s">
        <v>343</v>
      </c>
    </row>
    <row r="20" spans="1:27" x14ac:dyDescent="0.3">
      <c r="A20" t="s">
        <v>101</v>
      </c>
      <c r="B20" t="s">
        <v>102</v>
      </c>
      <c r="C20" t="s">
        <v>103</v>
      </c>
      <c r="D20" t="s">
        <v>27</v>
      </c>
      <c r="E20" t="s">
        <v>75</v>
      </c>
      <c r="F20" t="s">
        <v>104</v>
      </c>
      <c r="G20" t="s">
        <v>105</v>
      </c>
      <c r="H20" t="s">
        <v>45</v>
      </c>
      <c r="I20" s="32">
        <v>46163</v>
      </c>
      <c r="J20" s="32">
        <v>46163</v>
      </c>
      <c r="K20" s="32">
        <v>46261</v>
      </c>
      <c r="L20" s="32">
        <v>46272</v>
      </c>
      <c r="M20" t="s">
        <v>99</v>
      </c>
      <c r="N20" t="s">
        <v>46</v>
      </c>
      <c r="O20">
        <v>1</v>
      </c>
      <c r="P20">
        <v>2574.38</v>
      </c>
      <c r="Q20" t="s">
        <v>47</v>
      </c>
      <c r="R20" t="s">
        <v>48</v>
      </c>
      <c r="S20" t="s">
        <v>49</v>
      </c>
      <c r="T20" t="s">
        <v>50</v>
      </c>
      <c r="U20" t="s">
        <v>328</v>
      </c>
      <c r="V20" t="s">
        <v>100</v>
      </c>
      <c r="W20" t="s">
        <v>106</v>
      </c>
      <c r="X20" s="21" t="s">
        <v>333</v>
      </c>
      <c r="Y20" s="22">
        <f t="shared" si="0"/>
        <v>109</v>
      </c>
      <c r="Z20" s="24">
        <f t="shared" si="1"/>
        <v>15.571428571428571</v>
      </c>
      <c r="AA20" s="21" t="s">
        <v>344</v>
      </c>
    </row>
    <row r="21" spans="1:27" hidden="1" x14ac:dyDescent="0.3">
      <c r="A21" t="s">
        <v>81</v>
      </c>
      <c r="B21" t="s">
        <v>82</v>
      </c>
      <c r="C21" t="s">
        <v>83</v>
      </c>
      <c r="D21" t="s">
        <v>27</v>
      </c>
      <c r="E21" t="s">
        <v>28</v>
      </c>
      <c r="F21" t="s">
        <v>84</v>
      </c>
      <c r="G21" t="s">
        <v>85</v>
      </c>
      <c r="H21" t="s">
        <v>45</v>
      </c>
      <c r="I21" s="23">
        <v>46157</v>
      </c>
      <c r="J21" s="23">
        <v>46157</v>
      </c>
      <c r="K21" s="23">
        <v>46254</v>
      </c>
      <c r="L21" s="23">
        <v>46265</v>
      </c>
      <c r="M21" t="s">
        <v>32</v>
      </c>
      <c r="N21" t="s">
        <v>46</v>
      </c>
      <c r="O21">
        <v>10</v>
      </c>
      <c r="P21">
        <v>28499.88</v>
      </c>
      <c r="Q21" t="s">
        <v>47</v>
      </c>
      <c r="R21" t="s">
        <v>48</v>
      </c>
      <c r="S21" t="s">
        <v>49</v>
      </c>
      <c r="T21" t="s">
        <v>50</v>
      </c>
      <c r="U21" t="s">
        <v>328</v>
      </c>
      <c r="V21" t="s">
        <v>38</v>
      </c>
      <c r="W21" t="s">
        <v>39</v>
      </c>
      <c r="X21" s="21" t="s">
        <v>333</v>
      </c>
      <c r="Y21" s="22">
        <f t="shared" si="0"/>
        <v>108</v>
      </c>
      <c r="Z21" s="24">
        <f t="shared" si="1"/>
        <v>15.428571428571429</v>
      </c>
      <c r="AA21" s="21" t="s">
        <v>345</v>
      </c>
    </row>
    <row r="22" spans="1:27" hidden="1" x14ac:dyDescent="0.3">
      <c r="A22" t="s">
        <v>172</v>
      </c>
      <c r="B22" t="s">
        <v>173</v>
      </c>
      <c r="C22" t="s">
        <v>174</v>
      </c>
      <c r="D22" t="s">
        <v>27</v>
      </c>
      <c r="E22" t="s">
        <v>28</v>
      </c>
      <c r="F22" t="s">
        <v>175</v>
      </c>
      <c r="G22" t="s">
        <v>176</v>
      </c>
      <c r="H22" t="s">
        <v>45</v>
      </c>
      <c r="I22" s="23">
        <v>46156</v>
      </c>
      <c r="J22" s="23">
        <v>46156</v>
      </c>
      <c r="K22" s="23">
        <v>46254</v>
      </c>
      <c r="L22" s="23">
        <v>46262</v>
      </c>
      <c r="M22" t="s">
        <v>32</v>
      </c>
      <c r="N22" t="s">
        <v>46</v>
      </c>
      <c r="O22">
        <v>12</v>
      </c>
      <c r="P22">
        <v>34199.910000000003</v>
      </c>
      <c r="Q22" t="s">
        <v>47</v>
      </c>
      <c r="R22" t="s">
        <v>48</v>
      </c>
      <c r="S22" t="s">
        <v>49</v>
      </c>
      <c r="T22" t="s">
        <v>50</v>
      </c>
      <c r="U22" t="s">
        <v>328</v>
      </c>
      <c r="V22" t="s">
        <v>38</v>
      </c>
      <c r="W22" t="s">
        <v>62</v>
      </c>
      <c r="X22" s="21" t="s">
        <v>333</v>
      </c>
      <c r="Y22" s="22">
        <f t="shared" si="0"/>
        <v>106</v>
      </c>
      <c r="Z22" s="24">
        <f t="shared" si="1"/>
        <v>15.142857142857142</v>
      </c>
      <c r="AA22" s="21" t="s">
        <v>346</v>
      </c>
    </row>
    <row r="23" spans="1:27" hidden="1" x14ac:dyDescent="0.3">
      <c r="A23" t="s">
        <v>177</v>
      </c>
      <c r="B23" t="s">
        <v>178</v>
      </c>
      <c r="C23" t="s">
        <v>142</v>
      </c>
      <c r="D23" t="s">
        <v>27</v>
      </c>
      <c r="E23" t="s">
        <v>28</v>
      </c>
      <c r="F23" t="s">
        <v>143</v>
      </c>
      <c r="G23" t="s">
        <v>144</v>
      </c>
      <c r="H23" t="s">
        <v>45</v>
      </c>
      <c r="I23" s="23">
        <v>46157</v>
      </c>
      <c r="J23" s="23">
        <v>46157</v>
      </c>
      <c r="K23" s="23">
        <v>46254</v>
      </c>
      <c r="L23" s="23">
        <v>46261</v>
      </c>
      <c r="M23" t="s">
        <v>32</v>
      </c>
      <c r="N23" t="s">
        <v>46</v>
      </c>
      <c r="O23">
        <v>6</v>
      </c>
      <c r="P23">
        <v>17100.09</v>
      </c>
      <c r="Q23" t="s">
        <v>47</v>
      </c>
      <c r="R23" t="s">
        <v>48</v>
      </c>
      <c r="S23" t="s">
        <v>49</v>
      </c>
      <c r="T23" t="s">
        <v>50</v>
      </c>
      <c r="U23" t="s">
        <v>328</v>
      </c>
      <c r="V23" t="s">
        <v>38</v>
      </c>
      <c r="W23" t="s">
        <v>62</v>
      </c>
      <c r="X23" s="21" t="s">
        <v>333</v>
      </c>
      <c r="Y23" s="22">
        <f t="shared" si="0"/>
        <v>104</v>
      </c>
      <c r="Z23" s="24">
        <f t="shared" si="1"/>
        <v>14.857142857142858</v>
      </c>
      <c r="AA23" s="21" t="s">
        <v>347</v>
      </c>
    </row>
    <row r="24" spans="1:27" hidden="1" x14ac:dyDescent="0.3">
      <c r="A24" t="s">
        <v>179</v>
      </c>
      <c r="B24" t="s">
        <v>180</v>
      </c>
      <c r="C24" t="s">
        <v>142</v>
      </c>
      <c r="D24" t="s">
        <v>27</v>
      </c>
      <c r="E24" t="s">
        <v>28</v>
      </c>
      <c r="F24" t="s">
        <v>143</v>
      </c>
      <c r="G24" t="s">
        <v>148</v>
      </c>
      <c r="H24" t="s">
        <v>45</v>
      </c>
      <c r="I24" s="23">
        <v>46157</v>
      </c>
      <c r="J24" s="23">
        <v>46157</v>
      </c>
      <c r="K24" s="23">
        <v>46254</v>
      </c>
      <c r="L24" s="23">
        <v>46261</v>
      </c>
      <c r="M24" t="s">
        <v>32</v>
      </c>
      <c r="N24" t="s">
        <v>46</v>
      </c>
      <c r="O24">
        <v>6</v>
      </c>
      <c r="P24">
        <v>17100.09</v>
      </c>
      <c r="Q24" t="s">
        <v>47</v>
      </c>
      <c r="R24" t="s">
        <v>48</v>
      </c>
      <c r="S24" t="s">
        <v>49</v>
      </c>
      <c r="T24" t="s">
        <v>50</v>
      </c>
      <c r="U24" t="s">
        <v>328</v>
      </c>
      <c r="V24" t="s">
        <v>38</v>
      </c>
      <c r="W24" t="s">
        <v>62</v>
      </c>
      <c r="X24" s="21" t="s">
        <v>333</v>
      </c>
      <c r="Y24" s="22">
        <f t="shared" si="0"/>
        <v>104</v>
      </c>
      <c r="Z24" s="24">
        <f t="shared" si="1"/>
        <v>14.857142857142858</v>
      </c>
      <c r="AA24" s="21" t="s">
        <v>347</v>
      </c>
    </row>
    <row r="25" spans="1:27" hidden="1" x14ac:dyDescent="0.3">
      <c r="A25" t="s">
        <v>216</v>
      </c>
      <c r="B25" t="s">
        <v>217</v>
      </c>
      <c r="C25" t="s">
        <v>210</v>
      </c>
      <c r="D25" t="s">
        <v>27</v>
      </c>
      <c r="E25" t="s">
        <v>28</v>
      </c>
      <c r="F25" t="s">
        <v>211</v>
      </c>
      <c r="G25" t="s">
        <v>218</v>
      </c>
      <c r="H25" t="s">
        <v>31</v>
      </c>
      <c r="I25" s="23">
        <v>46177</v>
      </c>
      <c r="J25" s="23">
        <v>46177</v>
      </c>
      <c r="K25" s="23">
        <v>46272</v>
      </c>
      <c r="L25" s="23">
        <v>46281</v>
      </c>
      <c r="M25" t="s">
        <v>32</v>
      </c>
      <c r="N25" t="s">
        <v>46</v>
      </c>
      <c r="O25">
        <v>7</v>
      </c>
      <c r="P25">
        <v>25935.31</v>
      </c>
      <c r="Q25" t="s">
        <v>47</v>
      </c>
      <c r="R25" t="s">
        <v>48</v>
      </c>
      <c r="S25" t="s">
        <v>49</v>
      </c>
      <c r="T25" t="s">
        <v>50</v>
      </c>
      <c r="U25" t="s">
        <v>328</v>
      </c>
      <c r="V25" t="s">
        <v>38</v>
      </c>
      <c r="W25" t="s">
        <v>39</v>
      </c>
      <c r="X25" s="21" t="s">
        <v>333</v>
      </c>
      <c r="Y25" s="22">
        <f t="shared" si="0"/>
        <v>104</v>
      </c>
      <c r="Z25" s="24">
        <f t="shared" si="1"/>
        <v>14.857142857142858</v>
      </c>
      <c r="AA25" s="21" t="s">
        <v>339</v>
      </c>
    </row>
    <row r="26" spans="1:27" hidden="1" x14ac:dyDescent="0.3">
      <c r="A26" t="s">
        <v>230</v>
      </c>
      <c r="B26" t="s">
        <v>231</v>
      </c>
      <c r="C26" t="s">
        <v>163</v>
      </c>
      <c r="D26" t="s">
        <v>27</v>
      </c>
      <c r="E26" t="s">
        <v>28</v>
      </c>
      <c r="F26" t="s">
        <v>164</v>
      </c>
      <c r="G26" t="s">
        <v>165</v>
      </c>
      <c r="H26" t="s">
        <v>31</v>
      </c>
      <c r="I26" s="23">
        <v>46185</v>
      </c>
      <c r="J26" s="23">
        <v>46185</v>
      </c>
      <c r="K26" s="23">
        <v>46283</v>
      </c>
      <c r="L26" s="23">
        <v>46288</v>
      </c>
      <c r="M26" t="s">
        <v>32</v>
      </c>
      <c r="N26" t="s">
        <v>46</v>
      </c>
      <c r="O26">
        <v>10</v>
      </c>
      <c r="P26">
        <v>37050.239999999998</v>
      </c>
      <c r="Q26" t="s">
        <v>47</v>
      </c>
      <c r="R26" t="s">
        <v>48</v>
      </c>
      <c r="S26" t="s">
        <v>49</v>
      </c>
      <c r="T26" t="s">
        <v>50</v>
      </c>
      <c r="U26" t="s">
        <v>328</v>
      </c>
      <c r="V26" t="s">
        <v>38</v>
      </c>
      <c r="W26" t="s">
        <v>39</v>
      </c>
      <c r="X26" s="21" t="s">
        <v>333</v>
      </c>
      <c r="Y26" s="22">
        <f t="shared" si="0"/>
        <v>103</v>
      </c>
      <c r="Z26" s="24">
        <f t="shared" si="1"/>
        <v>14.714285714285714</v>
      </c>
      <c r="AA26" s="21" t="s">
        <v>348</v>
      </c>
    </row>
    <row r="27" spans="1:27" hidden="1" x14ac:dyDescent="0.3">
      <c r="A27" t="s">
        <v>94</v>
      </c>
      <c r="B27" t="s">
        <v>95</v>
      </c>
      <c r="C27" t="s">
        <v>96</v>
      </c>
      <c r="D27" t="s">
        <v>27</v>
      </c>
      <c r="E27" t="s">
        <v>28</v>
      </c>
      <c r="F27" t="s">
        <v>97</v>
      </c>
      <c r="G27" t="s">
        <v>98</v>
      </c>
      <c r="H27" t="s">
        <v>71</v>
      </c>
      <c r="I27" s="23">
        <v>46163</v>
      </c>
      <c r="J27" s="23">
        <v>46164</v>
      </c>
      <c r="K27" s="23">
        <v>46251</v>
      </c>
      <c r="L27" s="23">
        <v>46265</v>
      </c>
      <c r="M27" t="s">
        <v>99</v>
      </c>
      <c r="N27" t="s">
        <v>46</v>
      </c>
      <c r="O27">
        <v>1</v>
      </c>
      <c r="P27">
        <v>846.27</v>
      </c>
      <c r="Q27" t="s">
        <v>47</v>
      </c>
      <c r="R27" t="s">
        <v>48</v>
      </c>
      <c r="S27" t="s">
        <v>49</v>
      </c>
      <c r="T27" t="s">
        <v>50</v>
      </c>
      <c r="U27" t="s">
        <v>328</v>
      </c>
      <c r="V27" t="s">
        <v>100</v>
      </c>
      <c r="W27" t="s">
        <v>39</v>
      </c>
      <c r="X27" s="21" t="s">
        <v>333</v>
      </c>
      <c r="Y27" s="22">
        <f t="shared" si="0"/>
        <v>101</v>
      </c>
      <c r="Z27" s="22">
        <f t="shared" si="1"/>
        <v>14.428571428571429</v>
      </c>
    </row>
    <row r="28" spans="1:27" hidden="1" x14ac:dyDescent="0.3">
      <c r="A28" t="s">
        <v>319</v>
      </c>
      <c r="B28" t="s">
        <v>320</v>
      </c>
      <c r="C28" t="s">
        <v>118</v>
      </c>
      <c r="D28" t="s">
        <v>27</v>
      </c>
      <c r="E28" t="s">
        <v>119</v>
      </c>
      <c r="F28" t="s">
        <v>120</v>
      </c>
      <c r="G28" t="s">
        <v>321</v>
      </c>
      <c r="H28" t="s">
        <v>71</v>
      </c>
      <c r="I28" s="23">
        <v>46134</v>
      </c>
      <c r="J28" s="23">
        <v>46154</v>
      </c>
      <c r="K28" s="23">
        <v>46234</v>
      </c>
      <c r="L28" s="23">
        <v>46254</v>
      </c>
      <c r="M28" t="s">
        <v>32</v>
      </c>
      <c r="N28" t="s">
        <v>46</v>
      </c>
      <c r="O28">
        <v>75</v>
      </c>
      <c r="P28">
        <v>71250</v>
      </c>
      <c r="Q28" t="s">
        <v>47</v>
      </c>
      <c r="R28" t="s">
        <v>48</v>
      </c>
      <c r="S28" t="s">
        <v>49</v>
      </c>
      <c r="T28" t="s">
        <v>50</v>
      </c>
      <c r="U28" t="s">
        <v>328</v>
      </c>
      <c r="V28" t="s">
        <v>38</v>
      </c>
      <c r="W28" t="s">
        <v>79</v>
      </c>
      <c r="X28" s="21" t="s">
        <v>333</v>
      </c>
      <c r="Y28" s="22">
        <f t="shared" si="0"/>
        <v>100</v>
      </c>
      <c r="Z28" s="22">
        <f t="shared" si="1"/>
        <v>14.285714285714286</v>
      </c>
    </row>
    <row r="29" spans="1:27" hidden="1" x14ac:dyDescent="0.3">
      <c r="A29" t="s">
        <v>319</v>
      </c>
      <c r="B29" t="s">
        <v>320</v>
      </c>
      <c r="C29" t="s">
        <v>118</v>
      </c>
      <c r="D29" t="s">
        <v>27</v>
      </c>
      <c r="E29" t="s">
        <v>119</v>
      </c>
      <c r="F29" t="s">
        <v>120</v>
      </c>
      <c r="G29" t="s">
        <v>321</v>
      </c>
      <c r="H29" t="s">
        <v>71</v>
      </c>
      <c r="I29" s="23">
        <v>46134</v>
      </c>
      <c r="J29" s="23">
        <v>46154</v>
      </c>
      <c r="K29" s="23">
        <v>46234</v>
      </c>
      <c r="L29" s="23">
        <v>46254</v>
      </c>
      <c r="M29" t="s">
        <v>32</v>
      </c>
      <c r="N29" t="s">
        <v>46</v>
      </c>
      <c r="O29">
        <v>75</v>
      </c>
      <c r="P29">
        <v>142500</v>
      </c>
      <c r="Q29" t="s">
        <v>47</v>
      </c>
      <c r="R29" t="s">
        <v>48</v>
      </c>
      <c r="S29" t="s">
        <v>49</v>
      </c>
      <c r="T29" t="s">
        <v>50</v>
      </c>
      <c r="U29" t="s">
        <v>328</v>
      </c>
      <c r="V29" t="s">
        <v>38</v>
      </c>
      <c r="W29" t="s">
        <v>79</v>
      </c>
      <c r="X29" s="21" t="s">
        <v>333</v>
      </c>
      <c r="Y29" s="22">
        <f t="shared" si="0"/>
        <v>100</v>
      </c>
      <c r="Z29" s="22">
        <f t="shared" si="1"/>
        <v>14.285714285714286</v>
      </c>
    </row>
    <row r="30" spans="1:27" x14ac:dyDescent="0.3">
      <c r="A30" t="s">
        <v>149</v>
      </c>
      <c r="B30" t="s">
        <v>150</v>
      </c>
      <c r="C30" t="s">
        <v>151</v>
      </c>
      <c r="D30" t="s">
        <v>27</v>
      </c>
      <c r="E30" t="s">
        <v>75</v>
      </c>
      <c r="F30" t="s">
        <v>152</v>
      </c>
      <c r="G30" t="s">
        <v>153</v>
      </c>
      <c r="H30" t="s">
        <v>45</v>
      </c>
      <c r="I30" s="32">
        <v>46170</v>
      </c>
      <c r="J30" s="32">
        <v>46170</v>
      </c>
      <c r="K30" s="32">
        <v>46262</v>
      </c>
      <c r="L30" s="32">
        <v>46269</v>
      </c>
      <c r="M30" t="s">
        <v>99</v>
      </c>
      <c r="N30" t="s">
        <v>46</v>
      </c>
      <c r="O30">
        <v>1</v>
      </c>
      <c r="P30">
        <v>2568.7399999999998</v>
      </c>
      <c r="Q30" t="s">
        <v>47</v>
      </c>
      <c r="R30" t="s">
        <v>48</v>
      </c>
      <c r="S30" t="s">
        <v>49</v>
      </c>
      <c r="T30" t="s">
        <v>50</v>
      </c>
      <c r="U30" t="s">
        <v>328</v>
      </c>
      <c r="V30" t="s">
        <v>100</v>
      </c>
      <c r="W30" t="s">
        <v>70</v>
      </c>
      <c r="X30" s="21" t="s">
        <v>333</v>
      </c>
      <c r="Y30" s="22">
        <f t="shared" si="0"/>
        <v>99</v>
      </c>
      <c r="Z30" s="22">
        <f t="shared" si="1"/>
        <v>14.142857142857142</v>
      </c>
    </row>
    <row r="31" spans="1:27" hidden="1" x14ac:dyDescent="0.3">
      <c r="A31" t="s">
        <v>65</v>
      </c>
      <c r="B31" t="s">
        <v>66</v>
      </c>
      <c r="C31" t="s">
        <v>67</v>
      </c>
      <c r="D31" t="s">
        <v>27</v>
      </c>
      <c r="E31" t="s">
        <v>28</v>
      </c>
      <c r="F31" t="s">
        <v>68</v>
      </c>
      <c r="G31" t="s">
        <v>69</v>
      </c>
      <c r="H31" t="s">
        <v>71</v>
      </c>
      <c r="I31" s="23">
        <v>46157</v>
      </c>
      <c r="J31" s="23">
        <v>46168</v>
      </c>
      <c r="K31" s="23">
        <v>46246</v>
      </c>
      <c r="L31" s="23">
        <v>46266</v>
      </c>
      <c r="M31" t="s">
        <v>32</v>
      </c>
      <c r="N31" t="s">
        <v>46</v>
      </c>
      <c r="O31">
        <v>14</v>
      </c>
      <c r="P31">
        <v>41699.42</v>
      </c>
      <c r="Q31" t="s">
        <v>47</v>
      </c>
      <c r="R31" t="s">
        <v>48</v>
      </c>
      <c r="S31" t="s">
        <v>49</v>
      </c>
      <c r="T31" t="s">
        <v>50</v>
      </c>
      <c r="U31" t="s">
        <v>328</v>
      </c>
      <c r="V31" t="s">
        <v>38</v>
      </c>
      <c r="W31" t="s">
        <v>62</v>
      </c>
      <c r="X31" s="21" t="s">
        <v>333</v>
      </c>
      <c r="Y31" s="22">
        <f t="shared" si="0"/>
        <v>98</v>
      </c>
      <c r="Z31" s="22">
        <f t="shared" si="1"/>
        <v>14</v>
      </c>
    </row>
    <row r="32" spans="1:27" hidden="1" x14ac:dyDescent="0.3">
      <c r="A32" t="s">
        <v>250</v>
      </c>
      <c r="B32" t="s">
        <v>251</v>
      </c>
      <c r="C32" t="s">
        <v>174</v>
      </c>
      <c r="D32" t="s">
        <v>27</v>
      </c>
      <c r="E32" t="s">
        <v>28</v>
      </c>
      <c r="F32" t="s">
        <v>175</v>
      </c>
      <c r="G32" t="s">
        <v>176</v>
      </c>
      <c r="H32" t="s">
        <v>31</v>
      </c>
      <c r="I32" s="23">
        <v>46198</v>
      </c>
      <c r="J32" s="23">
        <v>46198</v>
      </c>
      <c r="K32" s="23">
        <v>46283</v>
      </c>
      <c r="L32" s="23">
        <v>46293</v>
      </c>
      <c r="M32" t="s">
        <v>32</v>
      </c>
      <c r="N32" t="s">
        <v>46</v>
      </c>
      <c r="O32">
        <v>8</v>
      </c>
      <c r="P32">
        <v>29640.02</v>
      </c>
      <c r="Q32" t="s">
        <v>47</v>
      </c>
      <c r="R32" t="s">
        <v>48</v>
      </c>
      <c r="S32" t="s">
        <v>49</v>
      </c>
      <c r="T32" t="s">
        <v>50</v>
      </c>
      <c r="U32" t="s">
        <v>328</v>
      </c>
      <c r="V32" t="s">
        <v>38</v>
      </c>
      <c r="W32" t="s">
        <v>39</v>
      </c>
      <c r="X32" s="21" t="s">
        <v>333</v>
      </c>
      <c r="Y32" s="22">
        <f t="shared" si="0"/>
        <v>95</v>
      </c>
      <c r="Z32" s="22">
        <f t="shared" si="1"/>
        <v>13.571428571428571</v>
      </c>
    </row>
    <row r="33" spans="1:27" hidden="1" x14ac:dyDescent="0.3">
      <c r="A33" t="s">
        <v>206</v>
      </c>
      <c r="B33" t="s">
        <v>207</v>
      </c>
      <c r="C33" t="s">
        <v>183</v>
      </c>
      <c r="D33" t="s">
        <v>27</v>
      </c>
      <c r="E33" t="s">
        <v>28</v>
      </c>
      <c r="F33" t="s">
        <v>184</v>
      </c>
      <c r="G33" t="s">
        <v>185</v>
      </c>
      <c r="H33" t="s">
        <v>45</v>
      </c>
      <c r="I33" s="23">
        <v>46177</v>
      </c>
      <c r="J33" s="23">
        <v>46177</v>
      </c>
      <c r="K33" s="23">
        <v>46254</v>
      </c>
      <c r="L33" s="23">
        <v>46267</v>
      </c>
      <c r="M33" t="s">
        <v>99</v>
      </c>
      <c r="N33" t="s">
        <v>46</v>
      </c>
      <c r="O33">
        <v>8</v>
      </c>
      <c r="P33">
        <v>31284.14</v>
      </c>
      <c r="Q33" t="s">
        <v>47</v>
      </c>
      <c r="R33" t="s">
        <v>48</v>
      </c>
      <c r="S33" t="s">
        <v>49</v>
      </c>
      <c r="T33" t="s">
        <v>50</v>
      </c>
      <c r="U33" t="s">
        <v>328</v>
      </c>
      <c r="V33" t="s">
        <v>38</v>
      </c>
      <c r="W33" t="s">
        <v>39</v>
      </c>
      <c r="X33" s="21" t="s">
        <v>333</v>
      </c>
      <c r="Y33" s="22">
        <f t="shared" si="0"/>
        <v>90</v>
      </c>
      <c r="Z33" s="22">
        <f t="shared" si="1"/>
        <v>12.857142857142858</v>
      </c>
    </row>
    <row r="34" spans="1:27" hidden="1" x14ac:dyDescent="0.3">
      <c r="A34" t="s">
        <v>131</v>
      </c>
      <c r="B34" t="s">
        <v>132</v>
      </c>
      <c r="C34" t="s">
        <v>53</v>
      </c>
      <c r="D34" t="s">
        <v>27</v>
      </c>
      <c r="E34" t="s">
        <v>28</v>
      </c>
      <c r="F34" t="s">
        <v>54</v>
      </c>
      <c r="G34" t="s">
        <v>55</v>
      </c>
      <c r="H34" t="s">
        <v>45</v>
      </c>
      <c r="I34" s="23">
        <v>46181</v>
      </c>
      <c r="J34" s="23">
        <v>46181</v>
      </c>
      <c r="K34" s="23">
        <v>46259</v>
      </c>
      <c r="L34" s="23">
        <v>46269</v>
      </c>
      <c r="M34" t="s">
        <v>32</v>
      </c>
      <c r="N34" t="s">
        <v>57</v>
      </c>
      <c r="O34">
        <v>4</v>
      </c>
      <c r="P34">
        <v>11224.23</v>
      </c>
      <c r="Q34" t="s">
        <v>58</v>
      </c>
      <c r="R34" t="s">
        <v>59</v>
      </c>
      <c r="S34" t="s">
        <v>49</v>
      </c>
      <c r="T34" t="s">
        <v>60</v>
      </c>
      <c r="U34" t="s">
        <v>328</v>
      </c>
      <c r="V34" t="s">
        <v>38</v>
      </c>
      <c r="W34" t="s">
        <v>133</v>
      </c>
      <c r="X34" s="21" t="s">
        <v>331</v>
      </c>
      <c r="Y34" s="22">
        <f t="shared" ref="Y34:Y70" si="2">L34-J34</f>
        <v>88</v>
      </c>
      <c r="Z34" s="22">
        <f t="shared" ref="Z34:Z65" si="3">Y34/7</f>
        <v>12.571428571428571</v>
      </c>
    </row>
    <row r="35" spans="1:27" hidden="1" x14ac:dyDescent="0.3">
      <c r="A35" t="s">
        <v>131</v>
      </c>
      <c r="B35" t="s">
        <v>132</v>
      </c>
      <c r="C35" t="s">
        <v>53</v>
      </c>
      <c r="D35" t="s">
        <v>27</v>
      </c>
      <c r="E35" t="s">
        <v>28</v>
      </c>
      <c r="F35" t="s">
        <v>54</v>
      </c>
      <c r="G35" t="s">
        <v>55</v>
      </c>
      <c r="H35" t="s">
        <v>45</v>
      </c>
      <c r="I35" s="23">
        <v>46181</v>
      </c>
      <c r="J35" s="23">
        <v>46181</v>
      </c>
      <c r="K35" s="23">
        <v>46259</v>
      </c>
      <c r="L35" s="23">
        <v>46269</v>
      </c>
      <c r="M35" t="s">
        <v>32</v>
      </c>
      <c r="N35" t="s">
        <v>46</v>
      </c>
      <c r="O35">
        <v>8</v>
      </c>
      <c r="P35">
        <v>29640.02</v>
      </c>
      <c r="Q35" t="s">
        <v>47</v>
      </c>
      <c r="R35" t="s">
        <v>48</v>
      </c>
      <c r="S35" t="s">
        <v>49</v>
      </c>
      <c r="T35" t="s">
        <v>50</v>
      </c>
      <c r="U35" t="s">
        <v>328</v>
      </c>
      <c r="V35" t="s">
        <v>38</v>
      </c>
      <c r="W35" t="s">
        <v>39</v>
      </c>
      <c r="X35" s="21" t="s">
        <v>333</v>
      </c>
      <c r="Y35" s="22">
        <f t="shared" si="2"/>
        <v>88</v>
      </c>
      <c r="Z35" s="22">
        <f t="shared" si="3"/>
        <v>12.571428571428571</v>
      </c>
    </row>
    <row r="36" spans="1:27" hidden="1" x14ac:dyDescent="0.3">
      <c r="A36" t="s">
        <v>308</v>
      </c>
      <c r="B36" t="s">
        <v>309</v>
      </c>
      <c r="C36" t="s">
        <v>118</v>
      </c>
      <c r="D36" t="s">
        <v>27</v>
      </c>
      <c r="E36" t="s">
        <v>119</v>
      </c>
      <c r="F36" t="s">
        <v>120</v>
      </c>
      <c r="G36" t="s">
        <v>121</v>
      </c>
      <c r="H36" t="s">
        <v>71</v>
      </c>
      <c r="I36" s="23">
        <v>46150</v>
      </c>
      <c r="J36" s="23">
        <v>46168</v>
      </c>
      <c r="K36" s="23">
        <v>46233</v>
      </c>
      <c r="L36" s="23">
        <v>46254</v>
      </c>
      <c r="M36" t="s">
        <v>32</v>
      </c>
      <c r="N36" t="s">
        <v>46</v>
      </c>
      <c r="O36">
        <v>20</v>
      </c>
      <c r="P36">
        <v>57000</v>
      </c>
      <c r="Q36" t="s">
        <v>47</v>
      </c>
      <c r="R36" t="s">
        <v>48</v>
      </c>
      <c r="S36" t="s">
        <v>49</v>
      </c>
      <c r="T36" t="s">
        <v>50</v>
      </c>
      <c r="U36" t="s">
        <v>328</v>
      </c>
      <c r="V36" t="s">
        <v>38</v>
      </c>
      <c r="W36" t="s">
        <v>79</v>
      </c>
      <c r="X36" s="21" t="s">
        <v>333</v>
      </c>
      <c r="Y36" s="22">
        <f t="shared" si="2"/>
        <v>86</v>
      </c>
      <c r="Z36" s="22">
        <f t="shared" si="3"/>
        <v>12.285714285714286</v>
      </c>
    </row>
    <row r="37" spans="1:27" hidden="1" x14ac:dyDescent="0.3">
      <c r="A37" t="s">
        <v>40</v>
      </c>
      <c r="B37" t="s">
        <v>41</v>
      </c>
      <c r="C37" t="s">
        <v>42</v>
      </c>
      <c r="D37" t="s">
        <v>27</v>
      </c>
      <c r="E37" t="s">
        <v>28</v>
      </c>
      <c r="F37" t="s">
        <v>43</v>
      </c>
      <c r="G37" t="s">
        <v>44</v>
      </c>
      <c r="H37" t="s">
        <v>45</v>
      </c>
      <c r="I37" s="23">
        <v>46183</v>
      </c>
      <c r="J37" s="23">
        <v>46183</v>
      </c>
      <c r="K37" s="23">
        <v>46254</v>
      </c>
      <c r="L37" s="23">
        <v>46266</v>
      </c>
      <c r="M37" t="s">
        <v>32</v>
      </c>
      <c r="N37" t="s">
        <v>46</v>
      </c>
      <c r="O37">
        <v>10</v>
      </c>
      <c r="P37">
        <v>37050.129999999997</v>
      </c>
      <c r="Q37" t="s">
        <v>47</v>
      </c>
      <c r="R37" t="s">
        <v>48</v>
      </c>
      <c r="S37" t="s">
        <v>49</v>
      </c>
      <c r="T37" t="s">
        <v>50</v>
      </c>
      <c r="U37" t="s">
        <v>328</v>
      </c>
      <c r="V37" t="s">
        <v>38</v>
      </c>
      <c r="W37" t="s">
        <v>39</v>
      </c>
      <c r="X37" s="21" t="s">
        <v>333</v>
      </c>
      <c r="Y37" s="22">
        <f t="shared" si="2"/>
        <v>83</v>
      </c>
      <c r="Z37" s="22">
        <f t="shared" si="3"/>
        <v>11.857142857142858</v>
      </c>
    </row>
    <row r="38" spans="1:27" hidden="1" x14ac:dyDescent="0.3">
      <c r="A38" t="s">
        <v>134</v>
      </c>
      <c r="B38" t="s">
        <v>135</v>
      </c>
      <c r="C38" t="s">
        <v>53</v>
      </c>
      <c r="D38" t="s">
        <v>27</v>
      </c>
      <c r="E38" t="s">
        <v>28</v>
      </c>
      <c r="F38" t="s">
        <v>54</v>
      </c>
      <c r="G38" t="s">
        <v>55</v>
      </c>
      <c r="H38" t="s">
        <v>31</v>
      </c>
      <c r="I38" s="23">
        <v>46217</v>
      </c>
      <c r="J38" s="23">
        <v>46217</v>
      </c>
      <c r="K38" s="23">
        <v>46283</v>
      </c>
      <c r="L38" s="23">
        <v>46295</v>
      </c>
      <c r="M38" t="s">
        <v>32</v>
      </c>
      <c r="N38" t="s">
        <v>46</v>
      </c>
      <c r="O38">
        <v>8</v>
      </c>
      <c r="P38">
        <v>29639.88</v>
      </c>
      <c r="Q38" t="s">
        <v>47</v>
      </c>
      <c r="R38" t="s">
        <v>48</v>
      </c>
      <c r="S38" t="s">
        <v>49</v>
      </c>
      <c r="T38" t="s">
        <v>50</v>
      </c>
      <c r="U38" t="s">
        <v>328</v>
      </c>
      <c r="V38" t="s">
        <v>38</v>
      </c>
      <c r="W38" t="s">
        <v>39</v>
      </c>
      <c r="X38" s="21" t="s">
        <v>333</v>
      </c>
      <c r="Y38" s="22">
        <f t="shared" si="2"/>
        <v>78</v>
      </c>
      <c r="Z38" s="22">
        <f t="shared" si="3"/>
        <v>11.142857142857142</v>
      </c>
    </row>
    <row r="39" spans="1:27" hidden="1" x14ac:dyDescent="0.3">
      <c r="A39" t="s">
        <v>166</v>
      </c>
      <c r="B39" t="s">
        <v>167</v>
      </c>
      <c r="C39" t="s">
        <v>109</v>
      </c>
      <c r="D39" t="s">
        <v>27</v>
      </c>
      <c r="E39" t="s">
        <v>28</v>
      </c>
      <c r="F39" t="s">
        <v>29</v>
      </c>
      <c r="G39" t="s">
        <v>168</v>
      </c>
      <c r="H39" t="s">
        <v>31</v>
      </c>
      <c r="I39" s="23">
        <v>46157</v>
      </c>
      <c r="J39" s="23">
        <v>46218</v>
      </c>
      <c r="K39" s="23">
        <v>46286</v>
      </c>
      <c r="L39" s="23">
        <v>46293</v>
      </c>
      <c r="M39" t="s">
        <v>32</v>
      </c>
      <c r="N39" t="s">
        <v>46</v>
      </c>
      <c r="O39">
        <v>20</v>
      </c>
      <c r="P39">
        <v>56999.83</v>
      </c>
      <c r="Q39" t="s">
        <v>47</v>
      </c>
      <c r="R39" t="s">
        <v>48</v>
      </c>
      <c r="S39" t="s">
        <v>49</v>
      </c>
      <c r="T39" t="s">
        <v>50</v>
      </c>
      <c r="U39" t="s">
        <v>328</v>
      </c>
      <c r="V39" t="s">
        <v>38</v>
      </c>
      <c r="W39" t="s">
        <v>170</v>
      </c>
      <c r="X39" s="21" t="s">
        <v>333</v>
      </c>
      <c r="Y39" s="22">
        <f t="shared" si="2"/>
        <v>75</v>
      </c>
      <c r="Z39" s="22">
        <f t="shared" si="3"/>
        <v>10.714285714285714</v>
      </c>
    </row>
    <row r="40" spans="1:27" hidden="1" x14ac:dyDescent="0.3">
      <c r="A40" t="s">
        <v>157</v>
      </c>
      <c r="B40" t="s">
        <v>158</v>
      </c>
      <c r="C40" t="s">
        <v>109</v>
      </c>
      <c r="D40" t="s">
        <v>27</v>
      </c>
      <c r="E40" t="s">
        <v>28</v>
      </c>
      <c r="F40" t="s">
        <v>29</v>
      </c>
      <c r="G40" t="s">
        <v>159</v>
      </c>
      <c r="H40" t="s">
        <v>31</v>
      </c>
      <c r="I40" s="23">
        <v>46157</v>
      </c>
      <c r="J40" s="23">
        <v>46218</v>
      </c>
      <c r="K40" s="23">
        <v>46283</v>
      </c>
      <c r="L40" s="23">
        <v>46290</v>
      </c>
      <c r="M40" t="s">
        <v>32</v>
      </c>
      <c r="N40" t="s">
        <v>46</v>
      </c>
      <c r="O40">
        <v>40</v>
      </c>
      <c r="P40">
        <v>113999.77</v>
      </c>
      <c r="Q40" t="s">
        <v>47</v>
      </c>
      <c r="R40" t="s">
        <v>48</v>
      </c>
      <c r="S40" t="s">
        <v>49</v>
      </c>
      <c r="T40" t="s">
        <v>50</v>
      </c>
      <c r="U40" t="s">
        <v>328</v>
      </c>
      <c r="V40" t="s">
        <v>38</v>
      </c>
      <c r="W40" t="s">
        <v>70</v>
      </c>
      <c r="X40" s="21" t="s">
        <v>333</v>
      </c>
      <c r="Y40" s="22">
        <f t="shared" si="2"/>
        <v>72</v>
      </c>
      <c r="Z40" s="22">
        <f t="shared" si="3"/>
        <v>10.285714285714286</v>
      </c>
    </row>
    <row r="41" spans="1:27" hidden="1" x14ac:dyDescent="0.3">
      <c r="A41" t="s">
        <v>72</v>
      </c>
      <c r="B41" t="s">
        <v>73</v>
      </c>
      <c r="C41" t="s">
        <v>74</v>
      </c>
      <c r="D41" t="s">
        <v>27</v>
      </c>
      <c r="E41" t="s">
        <v>75</v>
      </c>
      <c r="F41" t="s">
        <v>76</v>
      </c>
      <c r="G41" t="s">
        <v>77</v>
      </c>
      <c r="H41" t="s">
        <v>31</v>
      </c>
      <c r="I41" s="23">
        <v>46245</v>
      </c>
      <c r="J41" s="23">
        <v>46245</v>
      </c>
      <c r="K41" s="23">
        <v>46267</v>
      </c>
      <c r="L41" s="23">
        <v>46316</v>
      </c>
      <c r="M41" t="s">
        <v>80</v>
      </c>
      <c r="N41" t="s">
        <v>46</v>
      </c>
      <c r="O41">
        <v>5</v>
      </c>
      <c r="P41">
        <v>15896.81</v>
      </c>
      <c r="Q41" t="s">
        <v>47</v>
      </c>
      <c r="R41" t="s">
        <v>48</v>
      </c>
      <c r="S41" t="s">
        <v>49</v>
      </c>
      <c r="T41" t="s">
        <v>50</v>
      </c>
      <c r="U41" t="s">
        <v>328</v>
      </c>
      <c r="V41" t="s">
        <v>38</v>
      </c>
      <c r="W41" t="s">
        <v>39</v>
      </c>
      <c r="X41" s="21" t="s">
        <v>333</v>
      </c>
      <c r="Y41" s="22">
        <f t="shared" si="2"/>
        <v>71</v>
      </c>
      <c r="Z41" s="22">
        <f t="shared" si="3"/>
        <v>10.142857142857142</v>
      </c>
    </row>
    <row r="42" spans="1:27" hidden="1" x14ac:dyDescent="0.3">
      <c r="A42" t="s">
        <v>232</v>
      </c>
      <c r="B42" t="s">
        <v>233</v>
      </c>
      <c r="C42" t="s">
        <v>228</v>
      </c>
      <c r="D42" t="s">
        <v>27</v>
      </c>
      <c r="E42" t="s">
        <v>28</v>
      </c>
      <c r="F42" t="s">
        <v>211</v>
      </c>
      <c r="G42" t="s">
        <v>234</v>
      </c>
      <c r="H42" t="s">
        <v>71</v>
      </c>
      <c r="I42" s="23">
        <v>46189</v>
      </c>
      <c r="J42" s="23">
        <v>46189</v>
      </c>
      <c r="K42" s="23">
        <v>46251</v>
      </c>
      <c r="L42" s="23">
        <v>46259</v>
      </c>
      <c r="M42" t="s">
        <v>32</v>
      </c>
      <c r="N42" t="s">
        <v>235</v>
      </c>
      <c r="O42">
        <v>10</v>
      </c>
      <c r="P42">
        <v>310.32</v>
      </c>
      <c r="Q42" t="s">
        <v>236</v>
      </c>
      <c r="R42" t="s">
        <v>237</v>
      </c>
      <c r="S42" t="s">
        <v>125</v>
      </c>
      <c r="T42" t="s">
        <v>238</v>
      </c>
      <c r="U42" t="s">
        <v>326</v>
      </c>
      <c r="V42" t="s">
        <v>38</v>
      </c>
      <c r="W42" t="s">
        <v>39</v>
      </c>
      <c r="X42" t="s">
        <v>329</v>
      </c>
      <c r="Y42" s="22">
        <f t="shared" si="2"/>
        <v>70</v>
      </c>
      <c r="Z42" s="24">
        <f t="shared" si="3"/>
        <v>10</v>
      </c>
      <c r="AA42" s="21" t="s">
        <v>335</v>
      </c>
    </row>
    <row r="43" spans="1:27" hidden="1" x14ac:dyDescent="0.3">
      <c r="A43" t="s">
        <v>198</v>
      </c>
      <c r="B43" t="s">
        <v>199</v>
      </c>
      <c r="C43" t="s">
        <v>118</v>
      </c>
      <c r="D43" t="s">
        <v>27</v>
      </c>
      <c r="E43" t="s">
        <v>119</v>
      </c>
      <c r="F43" t="s">
        <v>120</v>
      </c>
      <c r="G43" t="s">
        <v>200</v>
      </c>
      <c r="H43" t="s">
        <v>71</v>
      </c>
      <c r="I43" s="23">
        <v>46169</v>
      </c>
      <c r="J43" s="23">
        <v>46189</v>
      </c>
      <c r="K43" s="23">
        <v>46178</v>
      </c>
      <c r="L43" s="23">
        <v>46255</v>
      </c>
      <c r="M43" t="s">
        <v>32</v>
      </c>
      <c r="N43" t="s">
        <v>201</v>
      </c>
      <c r="O43">
        <v>25</v>
      </c>
      <c r="P43">
        <v>5041.25</v>
      </c>
      <c r="Q43" t="s">
        <v>202</v>
      </c>
      <c r="R43" t="s">
        <v>203</v>
      </c>
      <c r="S43" t="s">
        <v>204</v>
      </c>
      <c r="T43" t="s">
        <v>205</v>
      </c>
      <c r="U43" t="s">
        <v>326</v>
      </c>
      <c r="V43" t="s">
        <v>38</v>
      </c>
      <c r="W43" t="s">
        <v>39</v>
      </c>
      <c r="X43" t="s">
        <v>329</v>
      </c>
      <c r="Y43" s="22">
        <f t="shared" si="2"/>
        <v>66</v>
      </c>
      <c r="Z43" s="22">
        <f t="shared" si="3"/>
        <v>9.4285714285714288</v>
      </c>
    </row>
    <row r="44" spans="1:27" x14ac:dyDescent="0.3">
      <c r="A44" t="s">
        <v>269</v>
      </c>
      <c r="B44" t="s">
        <v>270</v>
      </c>
      <c r="C44" t="s">
        <v>264</v>
      </c>
      <c r="D44" t="s">
        <v>27</v>
      </c>
      <c r="E44" t="s">
        <v>75</v>
      </c>
      <c r="F44" t="s">
        <v>265</v>
      </c>
      <c r="G44" t="s">
        <v>271</v>
      </c>
      <c r="H44" t="s">
        <v>45</v>
      </c>
      <c r="I44" s="32">
        <v>46219</v>
      </c>
      <c r="J44" s="32">
        <v>46219</v>
      </c>
      <c r="K44" s="32">
        <v>46261</v>
      </c>
      <c r="L44" s="32">
        <v>46273</v>
      </c>
      <c r="M44" t="s">
        <v>99</v>
      </c>
      <c r="N44" t="s">
        <v>46</v>
      </c>
      <c r="O44">
        <v>4</v>
      </c>
      <c r="P44">
        <v>14671.67</v>
      </c>
      <c r="Q44" t="s">
        <v>47</v>
      </c>
      <c r="R44" t="s">
        <v>48</v>
      </c>
      <c r="S44" t="s">
        <v>49</v>
      </c>
      <c r="T44" t="s">
        <v>50</v>
      </c>
      <c r="U44" t="s">
        <v>328</v>
      </c>
      <c r="V44" t="s">
        <v>38</v>
      </c>
      <c r="W44" t="s">
        <v>39</v>
      </c>
      <c r="X44" s="21" t="s">
        <v>333</v>
      </c>
      <c r="Y44" s="22">
        <f t="shared" si="2"/>
        <v>54</v>
      </c>
      <c r="Z44" s="22">
        <f t="shared" si="3"/>
        <v>7.7142857142857144</v>
      </c>
    </row>
    <row r="45" spans="1:27" x14ac:dyDescent="0.3">
      <c r="A45" t="s">
        <v>252</v>
      </c>
      <c r="B45" t="s">
        <v>253</v>
      </c>
      <c r="C45" t="s">
        <v>254</v>
      </c>
      <c r="D45" t="s">
        <v>27</v>
      </c>
      <c r="E45" t="s">
        <v>75</v>
      </c>
      <c r="F45" t="s">
        <v>255</v>
      </c>
      <c r="G45" t="s">
        <v>256</v>
      </c>
      <c r="H45" t="s">
        <v>45</v>
      </c>
      <c r="I45" s="32">
        <v>46217</v>
      </c>
      <c r="J45" s="32">
        <v>46217</v>
      </c>
      <c r="K45" s="32">
        <v>46261</v>
      </c>
      <c r="L45" s="32">
        <v>46269</v>
      </c>
      <c r="M45" t="s">
        <v>99</v>
      </c>
      <c r="N45" t="s">
        <v>186</v>
      </c>
      <c r="O45">
        <v>1</v>
      </c>
      <c r="P45">
        <v>5742.16</v>
      </c>
      <c r="Q45" t="s">
        <v>187</v>
      </c>
      <c r="R45" t="s">
        <v>188</v>
      </c>
      <c r="S45" t="s">
        <v>49</v>
      </c>
      <c r="T45" t="s">
        <v>189</v>
      </c>
      <c r="U45" t="s">
        <v>328</v>
      </c>
      <c r="V45" t="s">
        <v>38</v>
      </c>
      <c r="W45" t="s">
        <v>39</v>
      </c>
      <c r="X45" s="21" t="s">
        <v>332</v>
      </c>
      <c r="Y45" s="22">
        <f t="shared" si="2"/>
        <v>52</v>
      </c>
      <c r="Z45" s="22">
        <f t="shared" si="3"/>
        <v>7.4285714285714288</v>
      </c>
    </row>
    <row r="46" spans="1:27" x14ac:dyDescent="0.3">
      <c r="A46" t="s">
        <v>275</v>
      </c>
      <c r="B46" t="s">
        <v>276</v>
      </c>
      <c r="C46" t="s">
        <v>277</v>
      </c>
      <c r="D46" t="s">
        <v>27</v>
      </c>
      <c r="E46" t="s">
        <v>75</v>
      </c>
      <c r="F46" t="s">
        <v>255</v>
      </c>
      <c r="G46" t="s">
        <v>278</v>
      </c>
      <c r="H46" t="s">
        <v>71</v>
      </c>
      <c r="I46" s="32">
        <v>46230</v>
      </c>
      <c r="J46" s="32">
        <v>46231</v>
      </c>
      <c r="K46" s="32">
        <v>46245</v>
      </c>
      <c r="L46" s="32">
        <v>46282</v>
      </c>
      <c r="M46" t="s">
        <v>80</v>
      </c>
      <c r="N46" t="s">
        <v>279</v>
      </c>
      <c r="O46">
        <v>2</v>
      </c>
      <c r="P46">
        <v>11749.7</v>
      </c>
      <c r="Q46" t="s">
        <v>280</v>
      </c>
      <c r="R46" t="s">
        <v>281</v>
      </c>
      <c r="S46" t="s">
        <v>49</v>
      </c>
      <c r="T46" t="s">
        <v>282</v>
      </c>
      <c r="U46" t="s">
        <v>49</v>
      </c>
      <c r="V46" t="s">
        <v>38</v>
      </c>
      <c r="W46" t="s">
        <v>39</v>
      </c>
      <c r="X46" t="s">
        <v>329</v>
      </c>
      <c r="Y46" s="22">
        <f t="shared" si="2"/>
        <v>51</v>
      </c>
      <c r="Z46" s="22">
        <f t="shared" si="3"/>
        <v>7.2857142857142856</v>
      </c>
    </row>
    <row r="47" spans="1:27" hidden="1" x14ac:dyDescent="0.3">
      <c r="A47" t="s">
        <v>166</v>
      </c>
      <c r="B47" t="s">
        <v>167</v>
      </c>
      <c r="C47" t="s">
        <v>109</v>
      </c>
      <c r="D47" t="s">
        <v>27</v>
      </c>
      <c r="E47" t="s">
        <v>28</v>
      </c>
      <c r="F47" t="s">
        <v>29</v>
      </c>
      <c r="G47" t="s">
        <v>168</v>
      </c>
      <c r="H47" t="s">
        <v>31</v>
      </c>
      <c r="I47" s="23">
        <v>46157</v>
      </c>
      <c r="J47" s="23">
        <v>46249</v>
      </c>
      <c r="K47" s="23">
        <v>46286</v>
      </c>
      <c r="L47" s="23">
        <v>46293</v>
      </c>
      <c r="M47" t="s">
        <v>32</v>
      </c>
      <c r="N47" t="s">
        <v>46</v>
      </c>
      <c r="O47">
        <v>20</v>
      </c>
      <c r="P47">
        <v>56999.83</v>
      </c>
      <c r="Q47" t="s">
        <v>47</v>
      </c>
      <c r="R47" t="s">
        <v>48</v>
      </c>
      <c r="S47" t="s">
        <v>49</v>
      </c>
      <c r="T47" t="s">
        <v>50</v>
      </c>
      <c r="U47" t="s">
        <v>328</v>
      </c>
      <c r="V47" t="s">
        <v>38</v>
      </c>
      <c r="W47" t="s">
        <v>171</v>
      </c>
      <c r="X47" s="21" t="s">
        <v>333</v>
      </c>
      <c r="Y47" s="22">
        <f t="shared" si="2"/>
        <v>44</v>
      </c>
      <c r="Z47" s="22">
        <f t="shared" si="3"/>
        <v>6.2857142857142856</v>
      </c>
    </row>
    <row r="48" spans="1:27" hidden="1" x14ac:dyDescent="0.3">
      <c r="A48" t="s">
        <v>303</v>
      </c>
      <c r="B48" t="s">
        <v>304</v>
      </c>
      <c r="C48" t="s">
        <v>118</v>
      </c>
      <c r="D48" t="s">
        <v>27</v>
      </c>
      <c r="E48" t="s">
        <v>119</v>
      </c>
      <c r="F48" t="s">
        <v>120</v>
      </c>
      <c r="G48" t="s">
        <v>305</v>
      </c>
      <c r="H48" t="s">
        <v>78</v>
      </c>
      <c r="I48" s="23">
        <v>46245</v>
      </c>
      <c r="J48" s="23">
        <v>46252</v>
      </c>
      <c r="K48" s="23">
        <v>46290</v>
      </c>
      <c r="L48" s="23">
        <v>46296</v>
      </c>
      <c r="M48" t="s">
        <v>32</v>
      </c>
      <c r="N48" t="s">
        <v>122</v>
      </c>
      <c r="O48">
        <v>5</v>
      </c>
      <c r="P48">
        <v>314.3</v>
      </c>
      <c r="Q48" t="s">
        <v>123</v>
      </c>
      <c r="R48" t="s">
        <v>124</v>
      </c>
      <c r="S48" t="s">
        <v>125</v>
      </c>
      <c r="T48" t="s">
        <v>126</v>
      </c>
      <c r="U48" t="s">
        <v>326</v>
      </c>
      <c r="V48" t="s">
        <v>38</v>
      </c>
      <c r="W48" t="s">
        <v>39</v>
      </c>
      <c r="X48" t="s">
        <v>329</v>
      </c>
      <c r="Y48" s="22">
        <f t="shared" si="2"/>
        <v>44</v>
      </c>
      <c r="Z48" s="22">
        <f t="shared" si="3"/>
        <v>6.2857142857142856</v>
      </c>
    </row>
    <row r="49" spans="1:26" hidden="1" x14ac:dyDescent="0.3">
      <c r="A49" t="s">
        <v>116</v>
      </c>
      <c r="B49" t="s">
        <v>117</v>
      </c>
      <c r="C49" t="s">
        <v>118</v>
      </c>
      <c r="D49" t="s">
        <v>27</v>
      </c>
      <c r="E49" t="s">
        <v>119</v>
      </c>
      <c r="F49" t="s">
        <v>120</v>
      </c>
      <c r="G49" t="s">
        <v>121</v>
      </c>
      <c r="H49" t="s">
        <v>78</v>
      </c>
      <c r="I49" s="23">
        <v>46237</v>
      </c>
      <c r="J49" s="23">
        <v>46245</v>
      </c>
      <c r="K49" s="23">
        <v>46279</v>
      </c>
      <c r="L49" s="23">
        <v>46288</v>
      </c>
      <c r="M49" t="s">
        <v>32</v>
      </c>
      <c r="N49" t="s">
        <v>122</v>
      </c>
      <c r="O49">
        <v>30</v>
      </c>
      <c r="P49">
        <v>1885.8</v>
      </c>
      <c r="Q49" t="s">
        <v>123</v>
      </c>
      <c r="R49" t="s">
        <v>124</v>
      </c>
      <c r="S49" t="s">
        <v>125</v>
      </c>
      <c r="T49" t="s">
        <v>126</v>
      </c>
      <c r="U49" t="s">
        <v>326</v>
      </c>
      <c r="V49" t="s">
        <v>38</v>
      </c>
      <c r="W49" t="s">
        <v>39</v>
      </c>
      <c r="X49" t="s">
        <v>329</v>
      </c>
      <c r="Y49" s="22">
        <f t="shared" si="2"/>
        <v>43</v>
      </c>
      <c r="Z49" s="22">
        <f t="shared" si="3"/>
        <v>6.1428571428571432</v>
      </c>
    </row>
    <row r="50" spans="1:26" hidden="1" x14ac:dyDescent="0.3">
      <c r="A50" t="s">
        <v>107</v>
      </c>
      <c r="B50" t="s">
        <v>108</v>
      </c>
      <c r="C50" t="s">
        <v>109</v>
      </c>
      <c r="D50" t="s">
        <v>27</v>
      </c>
      <c r="E50" t="s">
        <v>28</v>
      </c>
      <c r="F50" t="s">
        <v>29</v>
      </c>
      <c r="G50" t="s">
        <v>110</v>
      </c>
      <c r="H50" t="s">
        <v>45</v>
      </c>
      <c r="I50" s="23">
        <v>46230</v>
      </c>
      <c r="J50" s="23">
        <v>46232</v>
      </c>
      <c r="K50" s="23">
        <v>46261</v>
      </c>
      <c r="L50" s="23">
        <v>46274</v>
      </c>
      <c r="M50" t="s">
        <v>32</v>
      </c>
      <c r="N50" t="s">
        <v>111</v>
      </c>
      <c r="O50">
        <v>15</v>
      </c>
      <c r="P50">
        <v>21429.7</v>
      </c>
      <c r="Q50" t="s">
        <v>112</v>
      </c>
      <c r="R50" t="s">
        <v>113</v>
      </c>
      <c r="S50" t="s">
        <v>114</v>
      </c>
      <c r="T50" t="s">
        <v>115</v>
      </c>
      <c r="U50" t="s">
        <v>330</v>
      </c>
      <c r="V50" t="s">
        <v>38</v>
      </c>
      <c r="W50" t="s">
        <v>39</v>
      </c>
      <c r="X50" t="s">
        <v>329</v>
      </c>
      <c r="Y50" s="22">
        <f t="shared" si="2"/>
        <v>42</v>
      </c>
      <c r="Z50" s="22">
        <f t="shared" si="3"/>
        <v>6</v>
      </c>
    </row>
    <row r="51" spans="1:26" hidden="1" x14ac:dyDescent="0.3">
      <c r="A51" t="s">
        <v>157</v>
      </c>
      <c r="B51" t="s">
        <v>158</v>
      </c>
      <c r="C51" t="s">
        <v>109</v>
      </c>
      <c r="D51" t="s">
        <v>27</v>
      </c>
      <c r="E51" t="s">
        <v>28</v>
      </c>
      <c r="F51" t="s">
        <v>29</v>
      </c>
      <c r="G51" t="s">
        <v>159</v>
      </c>
      <c r="H51" t="s">
        <v>31</v>
      </c>
      <c r="I51" s="23">
        <v>46157</v>
      </c>
      <c r="J51" s="23">
        <v>46249</v>
      </c>
      <c r="K51" s="23">
        <v>46283</v>
      </c>
      <c r="L51" s="23">
        <v>46290</v>
      </c>
      <c r="M51" t="s">
        <v>32</v>
      </c>
      <c r="N51" t="s">
        <v>46</v>
      </c>
      <c r="O51">
        <v>40</v>
      </c>
      <c r="P51">
        <v>113999.77</v>
      </c>
      <c r="Q51" t="s">
        <v>47</v>
      </c>
      <c r="R51" t="s">
        <v>48</v>
      </c>
      <c r="S51" t="s">
        <v>49</v>
      </c>
      <c r="T51" t="s">
        <v>50</v>
      </c>
      <c r="U51" t="s">
        <v>328</v>
      </c>
      <c r="V51" t="s">
        <v>38</v>
      </c>
      <c r="W51" t="s">
        <v>64</v>
      </c>
      <c r="X51" s="21" t="s">
        <v>333</v>
      </c>
      <c r="Y51" s="22">
        <f t="shared" si="2"/>
        <v>41</v>
      </c>
      <c r="Z51" s="22">
        <f t="shared" si="3"/>
        <v>5.8571428571428568</v>
      </c>
    </row>
    <row r="52" spans="1:26" hidden="1" x14ac:dyDescent="0.3">
      <c r="A52" t="s">
        <v>157</v>
      </c>
      <c r="B52" t="s">
        <v>158</v>
      </c>
      <c r="C52" t="s">
        <v>109</v>
      </c>
      <c r="D52" t="s">
        <v>27</v>
      </c>
      <c r="E52" t="s">
        <v>28</v>
      </c>
      <c r="F52" t="s">
        <v>29</v>
      </c>
      <c r="G52" t="s">
        <v>159</v>
      </c>
      <c r="H52" t="s">
        <v>71</v>
      </c>
      <c r="I52" s="23">
        <v>46157</v>
      </c>
      <c r="J52" s="23">
        <v>46218</v>
      </c>
      <c r="K52" s="23">
        <v>46246</v>
      </c>
      <c r="L52" s="23">
        <v>46258</v>
      </c>
      <c r="M52" t="s">
        <v>32</v>
      </c>
      <c r="N52" t="s">
        <v>111</v>
      </c>
      <c r="O52">
        <v>22</v>
      </c>
      <c r="P52">
        <v>31679.97</v>
      </c>
      <c r="Q52" t="s">
        <v>112</v>
      </c>
      <c r="R52" t="s">
        <v>113</v>
      </c>
      <c r="S52" t="s">
        <v>114</v>
      </c>
      <c r="T52" t="s">
        <v>115</v>
      </c>
      <c r="U52" t="s">
        <v>330</v>
      </c>
      <c r="V52" t="s">
        <v>38</v>
      </c>
      <c r="W52" t="s">
        <v>63</v>
      </c>
      <c r="X52" t="s">
        <v>329</v>
      </c>
      <c r="Y52" s="22">
        <f t="shared" si="2"/>
        <v>40</v>
      </c>
      <c r="Z52" s="22">
        <f t="shared" si="3"/>
        <v>5.7142857142857144</v>
      </c>
    </row>
    <row r="53" spans="1:26" hidden="1" x14ac:dyDescent="0.3">
      <c r="A53" t="s">
        <v>65</v>
      </c>
      <c r="B53" t="s">
        <v>66</v>
      </c>
      <c r="C53" t="s">
        <v>67</v>
      </c>
      <c r="D53" t="s">
        <v>27</v>
      </c>
      <c r="E53" t="s">
        <v>28</v>
      </c>
      <c r="F53" t="s">
        <v>68</v>
      </c>
      <c r="G53" t="s">
        <v>69</v>
      </c>
      <c r="H53" t="s">
        <v>45</v>
      </c>
      <c r="I53" s="23">
        <v>46157</v>
      </c>
      <c r="J53" s="23">
        <v>46235</v>
      </c>
      <c r="K53" s="23">
        <v>46254</v>
      </c>
      <c r="L53" s="23">
        <v>46274</v>
      </c>
      <c r="M53" t="s">
        <v>32</v>
      </c>
      <c r="N53" t="s">
        <v>46</v>
      </c>
      <c r="O53">
        <v>14</v>
      </c>
      <c r="P53">
        <v>41699.42</v>
      </c>
      <c r="Q53" t="s">
        <v>47</v>
      </c>
      <c r="R53" t="s">
        <v>48</v>
      </c>
      <c r="S53" t="s">
        <v>49</v>
      </c>
      <c r="T53" t="s">
        <v>50</v>
      </c>
      <c r="U53" t="s">
        <v>328</v>
      </c>
      <c r="V53" t="s">
        <v>38</v>
      </c>
      <c r="W53" t="s">
        <v>70</v>
      </c>
      <c r="X53" s="21" t="s">
        <v>333</v>
      </c>
      <c r="Y53" s="22">
        <f t="shared" si="2"/>
        <v>39</v>
      </c>
      <c r="Z53" s="22">
        <f t="shared" si="3"/>
        <v>5.5714285714285712</v>
      </c>
    </row>
    <row r="54" spans="1:26" x14ac:dyDescent="0.3">
      <c r="A54" t="s">
        <v>257</v>
      </c>
      <c r="B54" t="s">
        <v>258</v>
      </c>
      <c r="C54" t="s">
        <v>259</v>
      </c>
      <c r="D54" t="s">
        <v>27</v>
      </c>
      <c r="E54" t="s">
        <v>75</v>
      </c>
      <c r="F54" t="s">
        <v>260</v>
      </c>
      <c r="G54" t="s">
        <v>261</v>
      </c>
      <c r="H54" t="s">
        <v>71</v>
      </c>
      <c r="I54" s="32">
        <v>46219</v>
      </c>
      <c r="J54" s="32">
        <v>46219</v>
      </c>
      <c r="K54" s="32">
        <v>46239</v>
      </c>
      <c r="L54" s="32">
        <v>46258</v>
      </c>
      <c r="M54" t="s">
        <v>99</v>
      </c>
      <c r="N54" t="s">
        <v>111</v>
      </c>
      <c r="O54">
        <v>2</v>
      </c>
      <c r="P54">
        <v>3145.79</v>
      </c>
      <c r="Q54" t="s">
        <v>112</v>
      </c>
      <c r="R54" t="s">
        <v>113</v>
      </c>
      <c r="S54" t="s">
        <v>114</v>
      </c>
      <c r="T54" t="s">
        <v>115</v>
      </c>
      <c r="U54" t="s">
        <v>330</v>
      </c>
      <c r="V54" t="s">
        <v>38</v>
      </c>
      <c r="W54" t="s">
        <v>156</v>
      </c>
      <c r="X54" t="s">
        <v>329</v>
      </c>
      <c r="Y54" s="22">
        <f t="shared" si="2"/>
        <v>39</v>
      </c>
      <c r="Z54" s="22">
        <f t="shared" si="3"/>
        <v>5.5714285714285712</v>
      </c>
    </row>
    <row r="55" spans="1:26" x14ac:dyDescent="0.3">
      <c r="A55" t="s">
        <v>262</v>
      </c>
      <c r="B55" t="s">
        <v>263</v>
      </c>
      <c r="C55" t="s">
        <v>264</v>
      </c>
      <c r="D55" t="s">
        <v>27</v>
      </c>
      <c r="E55" t="s">
        <v>75</v>
      </c>
      <c r="F55" t="s">
        <v>265</v>
      </c>
      <c r="G55" t="s">
        <v>266</v>
      </c>
      <c r="H55" t="s">
        <v>71</v>
      </c>
      <c r="I55" s="32">
        <v>46219</v>
      </c>
      <c r="J55" s="32">
        <v>46219</v>
      </c>
      <c r="K55" s="32">
        <v>46248</v>
      </c>
      <c r="L55" s="32">
        <v>46258</v>
      </c>
      <c r="M55" t="s">
        <v>99</v>
      </c>
      <c r="N55" t="s">
        <v>111</v>
      </c>
      <c r="O55">
        <v>8</v>
      </c>
      <c r="P55">
        <v>13065.22</v>
      </c>
      <c r="Q55" t="s">
        <v>112</v>
      </c>
      <c r="R55" t="s">
        <v>113</v>
      </c>
      <c r="S55" t="s">
        <v>114</v>
      </c>
      <c r="T55" t="s">
        <v>115</v>
      </c>
      <c r="U55" t="s">
        <v>330</v>
      </c>
      <c r="V55" t="s">
        <v>38</v>
      </c>
      <c r="W55" t="s">
        <v>39</v>
      </c>
      <c r="X55" t="s">
        <v>329</v>
      </c>
      <c r="Y55" s="22">
        <f t="shared" si="2"/>
        <v>39</v>
      </c>
      <c r="Z55" s="22">
        <f t="shared" si="3"/>
        <v>5.5714285714285712</v>
      </c>
    </row>
    <row r="56" spans="1:26" hidden="1" x14ac:dyDescent="0.3">
      <c r="A56" t="s">
        <v>127</v>
      </c>
      <c r="B56" t="s">
        <v>129</v>
      </c>
      <c r="C56" t="s">
        <v>53</v>
      </c>
      <c r="D56" t="s">
        <v>27</v>
      </c>
      <c r="E56" t="s">
        <v>28</v>
      </c>
      <c r="F56" t="s">
        <v>54</v>
      </c>
      <c r="G56" t="s">
        <v>130</v>
      </c>
      <c r="H56" t="s">
        <v>45</v>
      </c>
      <c r="I56" s="23">
        <v>46230</v>
      </c>
      <c r="J56" s="23">
        <v>46233</v>
      </c>
      <c r="K56" s="23">
        <v>46259</v>
      </c>
      <c r="L56" s="23">
        <v>46269</v>
      </c>
      <c r="M56" t="s">
        <v>32</v>
      </c>
      <c r="N56" t="s">
        <v>111</v>
      </c>
      <c r="O56">
        <v>5</v>
      </c>
      <c r="P56">
        <v>7143.26</v>
      </c>
      <c r="Q56" t="s">
        <v>112</v>
      </c>
      <c r="R56" t="s">
        <v>113</v>
      </c>
      <c r="S56" t="s">
        <v>114</v>
      </c>
      <c r="T56" t="s">
        <v>115</v>
      </c>
      <c r="U56" t="s">
        <v>330</v>
      </c>
      <c r="V56" t="s">
        <v>38</v>
      </c>
      <c r="W56" t="s">
        <v>39</v>
      </c>
      <c r="X56" t="s">
        <v>329</v>
      </c>
      <c r="Y56" s="22">
        <f t="shared" si="2"/>
        <v>36</v>
      </c>
      <c r="Z56" s="22">
        <f t="shared" si="3"/>
        <v>5.1428571428571432</v>
      </c>
    </row>
    <row r="57" spans="1:26" hidden="1" x14ac:dyDescent="0.3">
      <c r="A57" t="s">
        <v>138</v>
      </c>
      <c r="B57" t="s">
        <v>139</v>
      </c>
      <c r="C57" t="s">
        <v>42</v>
      </c>
      <c r="D57" t="s">
        <v>27</v>
      </c>
      <c r="E57" t="s">
        <v>28</v>
      </c>
      <c r="F57" t="s">
        <v>43</v>
      </c>
      <c r="G57" t="s">
        <v>44</v>
      </c>
      <c r="H57" t="s">
        <v>71</v>
      </c>
      <c r="I57" s="23">
        <v>46217</v>
      </c>
      <c r="J57" s="23">
        <v>46217</v>
      </c>
      <c r="K57" s="23">
        <v>46237</v>
      </c>
      <c r="L57" s="23">
        <v>46253</v>
      </c>
      <c r="M57" t="s">
        <v>32</v>
      </c>
      <c r="N57" t="s">
        <v>111</v>
      </c>
      <c r="O57">
        <v>10</v>
      </c>
      <c r="P57">
        <v>17280.03</v>
      </c>
      <c r="Q57" t="s">
        <v>112</v>
      </c>
      <c r="R57" t="s">
        <v>113</v>
      </c>
      <c r="S57" t="s">
        <v>114</v>
      </c>
      <c r="T57" t="s">
        <v>115</v>
      </c>
      <c r="U57" t="s">
        <v>330</v>
      </c>
      <c r="V57" t="s">
        <v>38</v>
      </c>
      <c r="W57" t="s">
        <v>39</v>
      </c>
      <c r="X57" t="s">
        <v>329</v>
      </c>
      <c r="Y57" s="22">
        <f t="shared" si="2"/>
        <v>36</v>
      </c>
      <c r="Z57" s="22">
        <f t="shared" si="3"/>
        <v>5.1428571428571432</v>
      </c>
    </row>
    <row r="58" spans="1:26" x14ac:dyDescent="0.3">
      <c r="A58" t="s">
        <v>154</v>
      </c>
      <c r="B58" t="s">
        <v>155</v>
      </c>
      <c r="C58" t="s">
        <v>151</v>
      </c>
      <c r="D58" t="s">
        <v>27</v>
      </c>
      <c r="E58" t="s">
        <v>75</v>
      </c>
      <c r="F58" t="s">
        <v>152</v>
      </c>
      <c r="G58" t="s">
        <v>153</v>
      </c>
      <c r="H58" t="s">
        <v>45</v>
      </c>
      <c r="I58" s="32">
        <v>46234</v>
      </c>
      <c r="J58" s="32">
        <v>46234</v>
      </c>
      <c r="K58" s="32">
        <v>46262</v>
      </c>
      <c r="L58" s="32">
        <v>46269</v>
      </c>
      <c r="M58" t="s">
        <v>99</v>
      </c>
      <c r="N58" t="s">
        <v>46</v>
      </c>
      <c r="O58">
        <v>20</v>
      </c>
      <c r="P58">
        <v>68818.8</v>
      </c>
      <c r="Q58" t="s">
        <v>47</v>
      </c>
      <c r="R58" t="s">
        <v>48</v>
      </c>
      <c r="S58" t="s">
        <v>49</v>
      </c>
      <c r="T58" t="s">
        <v>50</v>
      </c>
      <c r="U58" t="s">
        <v>328</v>
      </c>
      <c r="V58" t="s">
        <v>100</v>
      </c>
      <c r="W58" t="s">
        <v>39</v>
      </c>
      <c r="X58" s="21" t="s">
        <v>333</v>
      </c>
      <c r="Y58" s="22">
        <f t="shared" si="2"/>
        <v>35</v>
      </c>
      <c r="Z58" s="22">
        <f t="shared" si="3"/>
        <v>5</v>
      </c>
    </row>
    <row r="59" spans="1:26" hidden="1" x14ac:dyDescent="0.3">
      <c r="A59" t="s">
        <v>300</v>
      </c>
      <c r="B59" t="s">
        <v>301</v>
      </c>
      <c r="C59" t="s">
        <v>118</v>
      </c>
      <c r="D59" t="s">
        <v>27</v>
      </c>
      <c r="E59" t="s">
        <v>119</v>
      </c>
      <c r="F59" t="s">
        <v>120</v>
      </c>
      <c r="G59" t="s">
        <v>302</v>
      </c>
      <c r="H59" t="s">
        <v>78</v>
      </c>
      <c r="I59" s="23">
        <v>46244</v>
      </c>
      <c r="J59" s="23">
        <v>46252</v>
      </c>
      <c r="K59" s="23">
        <v>46283</v>
      </c>
      <c r="L59" s="23">
        <v>46287</v>
      </c>
      <c r="M59" t="s">
        <v>32</v>
      </c>
      <c r="N59" t="s">
        <v>122</v>
      </c>
      <c r="O59">
        <v>20</v>
      </c>
      <c r="P59">
        <v>1257.2</v>
      </c>
      <c r="Q59" t="s">
        <v>123</v>
      </c>
      <c r="R59" t="s">
        <v>124</v>
      </c>
      <c r="S59" t="s">
        <v>125</v>
      </c>
      <c r="T59" t="s">
        <v>126</v>
      </c>
      <c r="U59" t="s">
        <v>326</v>
      </c>
      <c r="V59" t="s">
        <v>38</v>
      </c>
      <c r="W59" t="s">
        <v>39</v>
      </c>
      <c r="X59" t="s">
        <v>329</v>
      </c>
      <c r="Y59" s="22">
        <f t="shared" si="2"/>
        <v>35</v>
      </c>
      <c r="Z59" s="22">
        <f t="shared" si="3"/>
        <v>5</v>
      </c>
    </row>
    <row r="60" spans="1:26" hidden="1" x14ac:dyDescent="0.3">
      <c r="A60" t="s">
        <v>272</v>
      </c>
      <c r="B60" t="s">
        <v>273</v>
      </c>
      <c r="C60" t="s">
        <v>118</v>
      </c>
      <c r="D60" t="s">
        <v>27</v>
      </c>
      <c r="E60" t="s">
        <v>119</v>
      </c>
      <c r="F60" t="s">
        <v>120</v>
      </c>
      <c r="G60" t="s">
        <v>274</v>
      </c>
      <c r="H60" t="s">
        <v>31</v>
      </c>
      <c r="I60" s="23">
        <v>46224</v>
      </c>
      <c r="J60" s="23">
        <v>46231</v>
      </c>
      <c r="K60" s="23">
        <v>46253</v>
      </c>
      <c r="L60" s="23">
        <v>46265</v>
      </c>
      <c r="M60" t="s">
        <v>99</v>
      </c>
      <c r="N60" t="s">
        <v>246</v>
      </c>
      <c r="O60">
        <v>10</v>
      </c>
      <c r="P60">
        <v>198.8</v>
      </c>
      <c r="Q60" t="s">
        <v>247</v>
      </c>
      <c r="R60" t="s">
        <v>248</v>
      </c>
      <c r="S60" t="s">
        <v>36</v>
      </c>
      <c r="T60" t="s">
        <v>249</v>
      </c>
      <c r="U60" t="s">
        <v>326</v>
      </c>
      <c r="V60" t="s">
        <v>38</v>
      </c>
      <c r="W60" t="s">
        <v>39</v>
      </c>
      <c r="X60" t="s">
        <v>329</v>
      </c>
      <c r="Y60" s="22">
        <f t="shared" si="2"/>
        <v>34</v>
      </c>
      <c r="Z60" s="22">
        <f t="shared" si="3"/>
        <v>4.8571428571428568</v>
      </c>
    </row>
    <row r="61" spans="1:26" hidden="1" x14ac:dyDescent="0.3">
      <c r="A61" t="s">
        <v>316</v>
      </c>
      <c r="B61" t="s">
        <v>317</v>
      </c>
      <c r="C61" t="s">
        <v>118</v>
      </c>
      <c r="D61" t="s">
        <v>27</v>
      </c>
      <c r="E61" t="s">
        <v>119</v>
      </c>
      <c r="F61" t="s">
        <v>120</v>
      </c>
      <c r="G61" t="s">
        <v>305</v>
      </c>
      <c r="H61" t="s">
        <v>318</v>
      </c>
      <c r="I61" s="23">
        <v>46036</v>
      </c>
      <c r="J61" s="23">
        <v>46043</v>
      </c>
      <c r="K61" s="23">
        <v>46048</v>
      </c>
      <c r="L61" s="23">
        <v>46077</v>
      </c>
      <c r="M61" t="s">
        <v>99</v>
      </c>
      <c r="N61" t="s">
        <v>246</v>
      </c>
      <c r="O61">
        <v>10</v>
      </c>
      <c r="P61">
        <v>198.8</v>
      </c>
      <c r="Q61" t="s">
        <v>247</v>
      </c>
      <c r="R61" t="s">
        <v>248</v>
      </c>
      <c r="S61" t="s">
        <v>36</v>
      </c>
      <c r="T61" t="s">
        <v>249</v>
      </c>
      <c r="U61" t="s">
        <v>326</v>
      </c>
      <c r="V61" t="s">
        <v>38</v>
      </c>
      <c r="W61" t="s">
        <v>39</v>
      </c>
      <c r="X61" t="s">
        <v>329</v>
      </c>
      <c r="Y61" s="22">
        <f t="shared" si="2"/>
        <v>34</v>
      </c>
      <c r="Z61" s="22">
        <f t="shared" si="3"/>
        <v>4.8571428571428568</v>
      </c>
    </row>
    <row r="62" spans="1:26" hidden="1" x14ac:dyDescent="0.3">
      <c r="A62" t="s">
        <v>316</v>
      </c>
      <c r="B62" t="s">
        <v>317</v>
      </c>
      <c r="C62" t="s">
        <v>118</v>
      </c>
      <c r="D62" t="s">
        <v>27</v>
      </c>
      <c r="E62" t="s">
        <v>119</v>
      </c>
      <c r="F62" t="s">
        <v>120</v>
      </c>
      <c r="G62" t="s">
        <v>305</v>
      </c>
      <c r="H62" t="s">
        <v>318</v>
      </c>
      <c r="I62" s="23">
        <v>46036</v>
      </c>
      <c r="J62" s="23">
        <v>46043</v>
      </c>
      <c r="K62" s="23" t="s">
        <v>23</v>
      </c>
      <c r="L62" s="23">
        <v>46077</v>
      </c>
      <c r="M62" t="s">
        <v>99</v>
      </c>
      <c r="N62" t="s">
        <v>246</v>
      </c>
      <c r="O62">
        <v>10</v>
      </c>
      <c r="P62">
        <v>198.8</v>
      </c>
      <c r="Q62" t="s">
        <v>247</v>
      </c>
      <c r="R62" t="s">
        <v>248</v>
      </c>
      <c r="S62" t="s">
        <v>36</v>
      </c>
      <c r="T62" t="s">
        <v>249</v>
      </c>
      <c r="U62" t="s">
        <v>326</v>
      </c>
      <c r="V62" t="s">
        <v>38</v>
      </c>
      <c r="W62" t="s">
        <v>239</v>
      </c>
      <c r="X62" t="s">
        <v>329</v>
      </c>
      <c r="Y62" s="22">
        <f t="shared" si="2"/>
        <v>34</v>
      </c>
      <c r="Z62" s="22">
        <f t="shared" si="3"/>
        <v>4.8571428571428568</v>
      </c>
    </row>
    <row r="63" spans="1:26" hidden="1" x14ac:dyDescent="0.3">
      <c r="A63" t="s">
        <v>157</v>
      </c>
      <c r="B63" t="s">
        <v>158</v>
      </c>
      <c r="C63" t="s">
        <v>109</v>
      </c>
      <c r="D63" t="s">
        <v>27</v>
      </c>
      <c r="E63" t="s">
        <v>28</v>
      </c>
      <c r="F63" t="s">
        <v>29</v>
      </c>
      <c r="G63" t="s">
        <v>159</v>
      </c>
      <c r="H63" t="s">
        <v>45</v>
      </c>
      <c r="I63" s="23">
        <v>46157</v>
      </c>
      <c r="J63" s="23">
        <v>46249</v>
      </c>
      <c r="K63" s="23">
        <v>46272</v>
      </c>
      <c r="L63" s="23">
        <v>46279</v>
      </c>
      <c r="M63" t="s">
        <v>32</v>
      </c>
      <c r="N63" t="s">
        <v>111</v>
      </c>
      <c r="O63">
        <v>22</v>
      </c>
      <c r="P63">
        <v>31679.97</v>
      </c>
      <c r="Q63" t="s">
        <v>112</v>
      </c>
      <c r="R63" t="s">
        <v>113</v>
      </c>
      <c r="S63" t="s">
        <v>114</v>
      </c>
      <c r="T63" t="s">
        <v>115</v>
      </c>
      <c r="U63" t="s">
        <v>330</v>
      </c>
      <c r="V63" t="s">
        <v>38</v>
      </c>
      <c r="W63" t="s">
        <v>160</v>
      </c>
      <c r="X63" t="s">
        <v>329</v>
      </c>
      <c r="Y63" s="22">
        <f t="shared" si="2"/>
        <v>30</v>
      </c>
      <c r="Z63" s="22">
        <f t="shared" si="3"/>
        <v>4.2857142857142856</v>
      </c>
    </row>
    <row r="64" spans="1:26" hidden="1" x14ac:dyDescent="0.3">
      <c r="A64" t="s">
        <v>166</v>
      </c>
      <c r="B64" t="s">
        <v>167</v>
      </c>
      <c r="C64" t="s">
        <v>109</v>
      </c>
      <c r="D64" t="s">
        <v>27</v>
      </c>
      <c r="E64" t="s">
        <v>28</v>
      </c>
      <c r="F64" t="s">
        <v>29</v>
      </c>
      <c r="G64" t="s">
        <v>168</v>
      </c>
      <c r="H64" t="s">
        <v>45</v>
      </c>
      <c r="I64" s="23">
        <v>46157</v>
      </c>
      <c r="J64" s="23">
        <v>46249</v>
      </c>
      <c r="K64" s="23">
        <v>46272</v>
      </c>
      <c r="L64" s="23">
        <v>46279</v>
      </c>
      <c r="M64" t="s">
        <v>32</v>
      </c>
      <c r="N64" t="s">
        <v>111</v>
      </c>
      <c r="O64">
        <v>9</v>
      </c>
      <c r="P64">
        <v>12960.03</v>
      </c>
      <c r="Q64" t="s">
        <v>112</v>
      </c>
      <c r="R64" t="s">
        <v>113</v>
      </c>
      <c r="S64" t="s">
        <v>114</v>
      </c>
      <c r="T64" t="s">
        <v>115</v>
      </c>
      <c r="U64" t="s">
        <v>330</v>
      </c>
      <c r="V64" t="s">
        <v>38</v>
      </c>
      <c r="W64" t="s">
        <v>169</v>
      </c>
      <c r="X64" t="s">
        <v>329</v>
      </c>
      <c r="Y64" s="22">
        <f t="shared" si="2"/>
        <v>30</v>
      </c>
      <c r="Z64" s="22">
        <f t="shared" si="3"/>
        <v>4.2857142857142856</v>
      </c>
    </row>
    <row r="65" spans="1:26" hidden="1" x14ac:dyDescent="0.3">
      <c r="A65" t="s">
        <v>51</v>
      </c>
      <c r="B65" t="s">
        <v>52</v>
      </c>
      <c r="C65" t="s">
        <v>53</v>
      </c>
      <c r="D65" t="s">
        <v>27</v>
      </c>
      <c r="E65" t="s">
        <v>28</v>
      </c>
      <c r="F65" t="s">
        <v>54</v>
      </c>
      <c r="G65" t="s">
        <v>55</v>
      </c>
      <c r="H65" t="s">
        <v>45</v>
      </c>
      <c r="I65" s="23">
        <v>46157</v>
      </c>
      <c r="J65" s="23">
        <v>46238</v>
      </c>
      <c r="K65" s="23">
        <v>46258</v>
      </c>
      <c r="L65" s="23">
        <v>46265</v>
      </c>
      <c r="M65" t="s">
        <v>32</v>
      </c>
      <c r="N65" t="s">
        <v>57</v>
      </c>
      <c r="O65">
        <v>6</v>
      </c>
      <c r="P65">
        <v>14031.56</v>
      </c>
      <c r="Q65" t="s">
        <v>58</v>
      </c>
      <c r="R65" t="s">
        <v>59</v>
      </c>
      <c r="S65" t="s">
        <v>49</v>
      </c>
      <c r="T65" t="s">
        <v>60</v>
      </c>
      <c r="U65" t="s">
        <v>328</v>
      </c>
      <c r="V65" t="s">
        <v>38</v>
      </c>
      <c r="W65" t="s">
        <v>63</v>
      </c>
      <c r="X65" s="21" t="s">
        <v>331</v>
      </c>
      <c r="Y65" s="22">
        <f t="shared" si="2"/>
        <v>27</v>
      </c>
      <c r="Z65" s="22">
        <f t="shared" si="3"/>
        <v>3.8571428571428572</v>
      </c>
    </row>
    <row r="66" spans="1:26" hidden="1" x14ac:dyDescent="0.3">
      <c r="A66" t="s">
        <v>51</v>
      </c>
      <c r="B66" t="s">
        <v>52</v>
      </c>
      <c r="C66" t="s">
        <v>53</v>
      </c>
      <c r="D66" t="s">
        <v>27</v>
      </c>
      <c r="E66" t="s">
        <v>28</v>
      </c>
      <c r="F66" t="s">
        <v>54</v>
      </c>
      <c r="G66" t="s">
        <v>55</v>
      </c>
      <c r="H66" t="s">
        <v>45</v>
      </c>
      <c r="I66" s="23">
        <v>46157</v>
      </c>
      <c r="J66" s="23">
        <v>46238</v>
      </c>
      <c r="K66" s="23">
        <v>46258</v>
      </c>
      <c r="L66" s="23">
        <v>46265</v>
      </c>
      <c r="M66" t="s">
        <v>32</v>
      </c>
      <c r="N66" t="s">
        <v>46</v>
      </c>
      <c r="O66">
        <v>8</v>
      </c>
      <c r="P66">
        <v>22799.91</v>
      </c>
      <c r="Q66" t="s">
        <v>47</v>
      </c>
      <c r="R66" t="s">
        <v>48</v>
      </c>
      <c r="S66" t="s">
        <v>49</v>
      </c>
      <c r="T66" t="s">
        <v>50</v>
      </c>
      <c r="U66" t="s">
        <v>328</v>
      </c>
      <c r="V66" t="s">
        <v>38</v>
      </c>
      <c r="W66" t="s">
        <v>64</v>
      </c>
      <c r="X66" s="21" t="s">
        <v>333</v>
      </c>
      <c r="Y66" s="22">
        <f t="shared" si="2"/>
        <v>27</v>
      </c>
      <c r="Z66" s="22">
        <f>Y66/7</f>
        <v>3.8571428571428572</v>
      </c>
    </row>
    <row r="67" spans="1:26" hidden="1" x14ac:dyDescent="0.3">
      <c r="A67" t="s">
        <v>161</v>
      </c>
      <c r="B67" t="s">
        <v>162</v>
      </c>
      <c r="C67" t="s">
        <v>163</v>
      </c>
      <c r="D67" t="s">
        <v>27</v>
      </c>
      <c r="E67" t="s">
        <v>28</v>
      </c>
      <c r="F67" t="s">
        <v>164</v>
      </c>
      <c r="G67" t="s">
        <v>165</v>
      </c>
      <c r="H67" t="s">
        <v>45</v>
      </c>
      <c r="I67" s="23">
        <v>46156</v>
      </c>
      <c r="J67" s="23">
        <v>46235</v>
      </c>
      <c r="K67" s="23">
        <v>46259</v>
      </c>
      <c r="L67" s="23">
        <v>46262</v>
      </c>
      <c r="M67" t="s">
        <v>32</v>
      </c>
      <c r="N67" t="s">
        <v>46</v>
      </c>
      <c r="O67">
        <v>20</v>
      </c>
      <c r="P67">
        <v>57000.32</v>
      </c>
      <c r="Q67" t="s">
        <v>47</v>
      </c>
      <c r="R67" t="s">
        <v>48</v>
      </c>
      <c r="S67" t="s">
        <v>49</v>
      </c>
      <c r="T67" t="s">
        <v>50</v>
      </c>
      <c r="U67" t="s">
        <v>328</v>
      </c>
      <c r="V67" t="s">
        <v>38</v>
      </c>
      <c r="W67" t="s">
        <v>61</v>
      </c>
      <c r="X67" s="21" t="s">
        <v>333</v>
      </c>
      <c r="Y67" s="22">
        <f t="shared" si="2"/>
        <v>27</v>
      </c>
      <c r="Z67" s="22">
        <f>Y67/7</f>
        <v>3.8571428571428572</v>
      </c>
    </row>
    <row r="68" spans="1:26" hidden="1" x14ac:dyDescent="0.3">
      <c r="A68" t="s">
        <v>161</v>
      </c>
      <c r="B68" t="s">
        <v>162</v>
      </c>
      <c r="C68" t="s">
        <v>163</v>
      </c>
      <c r="D68" t="s">
        <v>27</v>
      </c>
      <c r="E68" t="s">
        <v>28</v>
      </c>
      <c r="F68" t="s">
        <v>164</v>
      </c>
      <c r="G68" t="s">
        <v>165</v>
      </c>
      <c r="H68" t="s">
        <v>45</v>
      </c>
      <c r="I68" s="23">
        <v>46156</v>
      </c>
      <c r="J68" s="23">
        <v>46235</v>
      </c>
      <c r="K68" s="23">
        <v>46258</v>
      </c>
      <c r="L68" s="23">
        <v>46261</v>
      </c>
      <c r="M68" t="s">
        <v>32</v>
      </c>
      <c r="N68" t="s">
        <v>111</v>
      </c>
      <c r="O68">
        <v>33</v>
      </c>
      <c r="P68">
        <v>47520.79</v>
      </c>
      <c r="Q68" t="s">
        <v>112</v>
      </c>
      <c r="R68" t="s">
        <v>113</v>
      </c>
      <c r="S68" t="s">
        <v>114</v>
      </c>
      <c r="T68" t="s">
        <v>115</v>
      </c>
      <c r="U68" t="s">
        <v>330</v>
      </c>
      <c r="V68" t="s">
        <v>38</v>
      </c>
      <c r="W68" t="s">
        <v>56</v>
      </c>
      <c r="X68" t="s">
        <v>329</v>
      </c>
      <c r="Y68" s="22">
        <f t="shared" si="2"/>
        <v>26</v>
      </c>
      <c r="Z68" s="22">
        <f>Y68/7</f>
        <v>3.7142857142857144</v>
      </c>
    </row>
    <row r="69" spans="1:26" hidden="1" x14ac:dyDescent="0.3">
      <c r="A69" t="s">
        <v>190</v>
      </c>
      <c r="B69" t="s">
        <v>191</v>
      </c>
      <c r="C69" t="s">
        <v>192</v>
      </c>
      <c r="D69" t="s">
        <v>27</v>
      </c>
      <c r="E69" t="s">
        <v>75</v>
      </c>
      <c r="F69" t="s">
        <v>193</v>
      </c>
      <c r="G69" t="s">
        <v>194</v>
      </c>
      <c r="H69" t="s">
        <v>45</v>
      </c>
      <c r="I69" s="23">
        <v>46181</v>
      </c>
      <c r="J69" s="23">
        <v>46248</v>
      </c>
      <c r="K69" s="23">
        <v>46261</v>
      </c>
      <c r="L69" s="23">
        <v>46269</v>
      </c>
      <c r="M69" t="s">
        <v>99</v>
      </c>
      <c r="N69" t="s">
        <v>195</v>
      </c>
      <c r="O69">
        <v>5</v>
      </c>
      <c r="P69">
        <v>16323.16</v>
      </c>
      <c r="Q69" t="s">
        <v>196</v>
      </c>
      <c r="R69" t="s">
        <v>188</v>
      </c>
      <c r="S69" t="s">
        <v>49</v>
      </c>
      <c r="T69" t="s">
        <v>189</v>
      </c>
      <c r="U69" t="s">
        <v>328</v>
      </c>
      <c r="V69" t="s">
        <v>38</v>
      </c>
      <c r="W69" t="s">
        <v>197</v>
      </c>
      <c r="X69" s="21" t="s">
        <v>332</v>
      </c>
      <c r="Y69" s="22">
        <f t="shared" si="2"/>
        <v>21</v>
      </c>
      <c r="Z69" s="22">
        <f>Y69/7</f>
        <v>3</v>
      </c>
    </row>
    <row r="70" spans="1:26" hidden="1" x14ac:dyDescent="0.3">
      <c r="A70" t="s">
        <v>293</v>
      </c>
      <c r="B70" t="s">
        <v>294</v>
      </c>
      <c r="C70" t="s">
        <v>118</v>
      </c>
      <c r="D70" t="s">
        <v>27</v>
      </c>
      <c r="E70" t="s">
        <v>119</v>
      </c>
      <c r="F70" t="s">
        <v>120</v>
      </c>
      <c r="G70" t="s">
        <v>295</v>
      </c>
      <c r="H70" t="s">
        <v>71</v>
      </c>
      <c r="I70" s="23">
        <v>46234</v>
      </c>
      <c r="J70" s="23">
        <v>46245</v>
      </c>
      <c r="K70" s="23">
        <v>46238</v>
      </c>
      <c r="L70" s="23">
        <v>46247</v>
      </c>
      <c r="M70" t="s">
        <v>32</v>
      </c>
      <c r="N70" t="s">
        <v>296</v>
      </c>
      <c r="O70">
        <v>12</v>
      </c>
      <c r="P70">
        <v>1908.84</v>
      </c>
      <c r="Q70" t="s">
        <v>297</v>
      </c>
      <c r="R70" t="s">
        <v>91</v>
      </c>
      <c r="S70" t="s">
        <v>92</v>
      </c>
      <c r="T70" t="s">
        <v>93</v>
      </c>
      <c r="U70" t="s">
        <v>327</v>
      </c>
      <c r="V70" t="s">
        <v>38</v>
      </c>
      <c r="W70" t="s">
        <v>39</v>
      </c>
      <c r="X70" t="s">
        <v>329</v>
      </c>
      <c r="Y70" s="22">
        <f t="shared" si="2"/>
        <v>2</v>
      </c>
      <c r="Z70" s="22">
        <f>Y70/7</f>
        <v>0.2857142857142857</v>
      </c>
    </row>
    <row r="71" spans="1:26" hidden="1" x14ac:dyDescent="0.3">
      <c r="A71" t="s">
        <v>240</v>
      </c>
      <c r="B71" t="s">
        <v>241</v>
      </c>
      <c r="C71" t="s">
        <v>242</v>
      </c>
      <c r="D71" t="s">
        <v>27</v>
      </c>
      <c r="E71" t="s">
        <v>243</v>
      </c>
      <c r="F71" t="s">
        <v>244</v>
      </c>
      <c r="G71" t="s">
        <v>245</v>
      </c>
      <c r="H71" t="s">
        <v>78</v>
      </c>
      <c r="I71" s="23">
        <v>46196</v>
      </c>
      <c r="J71" s="23">
        <v>46202</v>
      </c>
      <c r="K71" s="23" t="s">
        <v>23</v>
      </c>
      <c r="L71" s="23" t="s">
        <v>23</v>
      </c>
      <c r="M71" t="s">
        <v>32</v>
      </c>
      <c r="N71" t="s">
        <v>246</v>
      </c>
      <c r="O71">
        <v>10</v>
      </c>
      <c r="P71">
        <v>167.12</v>
      </c>
      <c r="Q71" t="s">
        <v>247</v>
      </c>
      <c r="R71" t="s">
        <v>248</v>
      </c>
      <c r="S71" t="s">
        <v>36</v>
      </c>
      <c r="T71" t="s">
        <v>249</v>
      </c>
      <c r="U71" t="s">
        <v>326</v>
      </c>
      <c r="V71" t="s">
        <v>38</v>
      </c>
      <c r="W71" t="s">
        <v>39</v>
      </c>
      <c r="X71" t="s">
        <v>329</v>
      </c>
      <c r="Y71" s="25"/>
      <c r="Z71" s="22"/>
    </row>
    <row r="72" spans="1:26" x14ac:dyDescent="0.3">
      <c r="A72" t="s">
        <v>257</v>
      </c>
      <c r="B72" t="s">
        <v>258</v>
      </c>
      <c r="C72" t="s">
        <v>259</v>
      </c>
      <c r="D72" t="s">
        <v>27</v>
      </c>
      <c r="E72" t="s">
        <v>75</v>
      </c>
      <c r="F72" t="s">
        <v>260</v>
      </c>
      <c r="G72" t="s">
        <v>261</v>
      </c>
      <c r="H72" t="s">
        <v>45</v>
      </c>
      <c r="I72" s="32">
        <v>46219</v>
      </c>
      <c r="J72" s="32">
        <v>46219</v>
      </c>
      <c r="K72" s="32" t="s">
        <v>23</v>
      </c>
      <c r="L72" s="32" t="s">
        <v>23</v>
      </c>
      <c r="M72" t="s">
        <v>99</v>
      </c>
      <c r="N72" t="s">
        <v>46</v>
      </c>
      <c r="O72">
        <v>18</v>
      </c>
      <c r="P72">
        <v>63555.7</v>
      </c>
      <c r="Q72" t="s">
        <v>47</v>
      </c>
      <c r="R72" t="s">
        <v>48</v>
      </c>
      <c r="S72" t="s">
        <v>49</v>
      </c>
      <c r="T72" t="s">
        <v>50</v>
      </c>
      <c r="U72" t="s">
        <v>328</v>
      </c>
      <c r="V72" t="s">
        <v>38</v>
      </c>
      <c r="W72" t="s">
        <v>39</v>
      </c>
      <c r="X72" s="21" t="s">
        <v>333</v>
      </c>
      <c r="Y72" s="25"/>
      <c r="Z72" s="22"/>
    </row>
    <row r="73" spans="1:26" x14ac:dyDescent="0.3">
      <c r="A73" t="s">
        <v>257</v>
      </c>
      <c r="B73" t="s">
        <v>258</v>
      </c>
      <c r="C73" t="s">
        <v>259</v>
      </c>
      <c r="D73" t="s">
        <v>27</v>
      </c>
      <c r="E73" t="s">
        <v>75</v>
      </c>
      <c r="F73" t="s">
        <v>260</v>
      </c>
      <c r="G73" t="s">
        <v>261</v>
      </c>
      <c r="H73" t="s">
        <v>78</v>
      </c>
      <c r="I73" s="32">
        <v>46219</v>
      </c>
      <c r="J73" s="32">
        <v>46219</v>
      </c>
      <c r="K73" s="32" t="s">
        <v>23</v>
      </c>
      <c r="L73" s="32" t="s">
        <v>23</v>
      </c>
      <c r="M73" t="s">
        <v>80</v>
      </c>
      <c r="N73" t="s">
        <v>122</v>
      </c>
      <c r="O73">
        <v>50</v>
      </c>
      <c r="P73">
        <v>2671.56</v>
      </c>
      <c r="Q73" t="s">
        <v>123</v>
      </c>
      <c r="R73" t="s">
        <v>124</v>
      </c>
      <c r="S73" t="s">
        <v>125</v>
      </c>
      <c r="T73" t="s">
        <v>126</v>
      </c>
      <c r="U73" t="s">
        <v>326</v>
      </c>
      <c r="V73" t="s">
        <v>38</v>
      </c>
      <c r="W73" t="s">
        <v>106</v>
      </c>
      <c r="X73" t="s">
        <v>329</v>
      </c>
      <c r="Y73" s="25"/>
      <c r="Z73" s="22"/>
    </row>
    <row r="74" spans="1:26" x14ac:dyDescent="0.3">
      <c r="A74" t="s">
        <v>262</v>
      </c>
      <c r="B74" t="s">
        <v>263</v>
      </c>
      <c r="C74" t="s">
        <v>264</v>
      </c>
      <c r="D74" t="s">
        <v>27</v>
      </c>
      <c r="E74" t="s">
        <v>75</v>
      </c>
      <c r="F74" t="s">
        <v>265</v>
      </c>
      <c r="G74" t="s">
        <v>267</v>
      </c>
      <c r="H74" t="s">
        <v>45</v>
      </c>
      <c r="I74" s="32">
        <v>46219</v>
      </c>
      <c r="J74" s="32">
        <v>46219</v>
      </c>
      <c r="K74" s="32" t="s">
        <v>23</v>
      </c>
      <c r="L74" s="32" t="s">
        <v>23</v>
      </c>
      <c r="M74" t="s">
        <v>99</v>
      </c>
      <c r="N74" t="s">
        <v>46</v>
      </c>
      <c r="O74">
        <v>19</v>
      </c>
      <c r="P74">
        <v>69690.320000000007</v>
      </c>
      <c r="Q74" t="s">
        <v>47</v>
      </c>
      <c r="R74" t="s">
        <v>48</v>
      </c>
      <c r="S74" t="s">
        <v>49</v>
      </c>
      <c r="T74" t="s">
        <v>50</v>
      </c>
      <c r="U74" t="s">
        <v>328</v>
      </c>
      <c r="V74" t="s">
        <v>38</v>
      </c>
      <c r="W74" t="s">
        <v>268</v>
      </c>
      <c r="X74" s="21" t="s">
        <v>333</v>
      </c>
      <c r="Y74" s="25"/>
      <c r="Z74" s="22"/>
    </row>
    <row r="75" spans="1:26" x14ac:dyDescent="0.3">
      <c r="A75" t="s">
        <v>262</v>
      </c>
      <c r="B75" t="s">
        <v>263</v>
      </c>
      <c r="C75" t="s">
        <v>264</v>
      </c>
      <c r="D75" t="s">
        <v>27</v>
      </c>
      <c r="E75" t="s">
        <v>75</v>
      </c>
      <c r="F75" t="s">
        <v>265</v>
      </c>
      <c r="G75" t="s">
        <v>267</v>
      </c>
      <c r="H75" t="s">
        <v>78</v>
      </c>
      <c r="I75" s="32">
        <v>46219</v>
      </c>
      <c r="J75" s="32">
        <v>46219</v>
      </c>
      <c r="K75" s="32" t="s">
        <v>23</v>
      </c>
      <c r="L75" s="32" t="s">
        <v>23</v>
      </c>
      <c r="M75" t="s">
        <v>80</v>
      </c>
      <c r="N75" t="s">
        <v>122</v>
      </c>
      <c r="O75">
        <v>40</v>
      </c>
      <c r="P75">
        <v>2220.88</v>
      </c>
      <c r="Q75" t="s">
        <v>123</v>
      </c>
      <c r="R75" t="s">
        <v>124</v>
      </c>
      <c r="S75" t="s">
        <v>125</v>
      </c>
      <c r="T75" t="s">
        <v>126</v>
      </c>
      <c r="U75" t="s">
        <v>326</v>
      </c>
      <c r="V75" t="s">
        <v>38</v>
      </c>
      <c r="W75" t="s">
        <v>106</v>
      </c>
      <c r="X75" t="s">
        <v>329</v>
      </c>
      <c r="Y75" s="25"/>
      <c r="Z75" s="22"/>
    </row>
    <row r="76" spans="1:26" x14ac:dyDescent="0.3">
      <c r="A76" t="s">
        <v>154</v>
      </c>
      <c r="B76" t="s">
        <v>155</v>
      </c>
      <c r="C76" t="s">
        <v>151</v>
      </c>
      <c r="D76" t="s">
        <v>27</v>
      </c>
      <c r="E76" t="s">
        <v>75</v>
      </c>
      <c r="F76" t="s">
        <v>152</v>
      </c>
      <c r="G76" t="s">
        <v>153</v>
      </c>
      <c r="H76" t="s">
        <v>78</v>
      </c>
      <c r="I76" s="32">
        <v>46234</v>
      </c>
      <c r="J76" s="32">
        <v>46234</v>
      </c>
      <c r="K76" s="32" t="s">
        <v>23</v>
      </c>
      <c r="L76" s="32" t="s">
        <v>23</v>
      </c>
      <c r="M76" t="s">
        <v>99</v>
      </c>
      <c r="N76" t="s">
        <v>111</v>
      </c>
      <c r="O76">
        <v>22</v>
      </c>
      <c r="P76">
        <v>34270.94</v>
      </c>
      <c r="Q76" t="s">
        <v>112</v>
      </c>
      <c r="R76" t="s">
        <v>113</v>
      </c>
      <c r="S76" t="s">
        <v>114</v>
      </c>
      <c r="T76" t="s">
        <v>115</v>
      </c>
      <c r="U76" t="s">
        <v>330</v>
      </c>
      <c r="V76" t="s">
        <v>100</v>
      </c>
      <c r="W76" t="s">
        <v>156</v>
      </c>
      <c r="X76" t="s">
        <v>329</v>
      </c>
      <c r="Y76" s="25"/>
      <c r="Z76" s="22"/>
    </row>
    <row r="77" spans="1:26" hidden="1" x14ac:dyDescent="0.3">
      <c r="A77" t="s">
        <v>283</v>
      </c>
      <c r="B77" t="s">
        <v>284</v>
      </c>
      <c r="C77" t="s">
        <v>242</v>
      </c>
      <c r="D77" t="s">
        <v>27</v>
      </c>
      <c r="E77" t="s">
        <v>243</v>
      </c>
      <c r="F77" t="s">
        <v>244</v>
      </c>
      <c r="G77" t="s">
        <v>285</v>
      </c>
      <c r="H77" t="s">
        <v>78</v>
      </c>
      <c r="I77" s="23">
        <v>46232</v>
      </c>
      <c r="J77" s="23">
        <v>46238</v>
      </c>
      <c r="K77" s="23" t="s">
        <v>23</v>
      </c>
      <c r="L77" s="23" t="s">
        <v>23</v>
      </c>
      <c r="M77" t="s">
        <v>32</v>
      </c>
      <c r="N77" t="s">
        <v>286</v>
      </c>
      <c r="O77">
        <v>40</v>
      </c>
      <c r="P77">
        <v>2337.98</v>
      </c>
      <c r="Q77" t="s">
        <v>287</v>
      </c>
      <c r="R77" t="s">
        <v>124</v>
      </c>
      <c r="S77" t="s">
        <v>125</v>
      </c>
      <c r="T77" t="s">
        <v>126</v>
      </c>
      <c r="U77" t="s">
        <v>326</v>
      </c>
      <c r="V77" t="s">
        <v>38</v>
      </c>
      <c r="W77" t="s">
        <v>39</v>
      </c>
      <c r="X77" t="s">
        <v>329</v>
      </c>
      <c r="Y77" s="25"/>
      <c r="Z77" s="22"/>
    </row>
    <row r="78" spans="1:26" hidden="1" x14ac:dyDescent="0.3">
      <c r="A78" t="s">
        <v>283</v>
      </c>
      <c r="B78" t="s">
        <v>284</v>
      </c>
      <c r="C78" t="s">
        <v>242</v>
      </c>
      <c r="D78" t="s">
        <v>27</v>
      </c>
      <c r="E78" t="s">
        <v>243</v>
      </c>
      <c r="F78" t="s">
        <v>244</v>
      </c>
      <c r="G78" t="s">
        <v>285</v>
      </c>
      <c r="H78" t="s">
        <v>31</v>
      </c>
      <c r="I78" s="23">
        <v>46232</v>
      </c>
      <c r="J78" s="23">
        <v>46238</v>
      </c>
      <c r="K78" s="23" t="s">
        <v>23</v>
      </c>
      <c r="L78" s="23" t="s">
        <v>23</v>
      </c>
      <c r="M78" t="s">
        <v>99</v>
      </c>
      <c r="N78" t="s">
        <v>288</v>
      </c>
      <c r="O78">
        <v>30</v>
      </c>
      <c r="P78">
        <v>179.92</v>
      </c>
      <c r="Q78" t="s">
        <v>289</v>
      </c>
      <c r="R78" t="s">
        <v>290</v>
      </c>
      <c r="S78" t="s">
        <v>291</v>
      </c>
      <c r="T78" t="s">
        <v>292</v>
      </c>
      <c r="U78" t="s">
        <v>326</v>
      </c>
      <c r="V78" t="s">
        <v>38</v>
      </c>
      <c r="W78" t="s">
        <v>88</v>
      </c>
      <c r="X78" t="s">
        <v>329</v>
      </c>
      <c r="Y78" s="25"/>
      <c r="Z78" s="22"/>
    </row>
    <row r="79" spans="1:26" hidden="1" x14ac:dyDescent="0.3">
      <c r="A79" t="s">
        <v>298</v>
      </c>
      <c r="B79" t="s">
        <v>299</v>
      </c>
      <c r="C79" t="s">
        <v>242</v>
      </c>
      <c r="D79" t="s">
        <v>27</v>
      </c>
      <c r="E79" t="s">
        <v>243</v>
      </c>
      <c r="F79" t="s">
        <v>244</v>
      </c>
      <c r="G79" t="s">
        <v>285</v>
      </c>
      <c r="H79" t="s">
        <v>31</v>
      </c>
      <c r="I79" s="23">
        <v>46234</v>
      </c>
      <c r="J79" s="23">
        <v>46245</v>
      </c>
      <c r="K79" s="23" t="s">
        <v>23</v>
      </c>
      <c r="L79" s="23" t="s">
        <v>23</v>
      </c>
      <c r="M79" t="s">
        <v>32</v>
      </c>
      <c r="N79" t="s">
        <v>201</v>
      </c>
      <c r="O79">
        <v>15</v>
      </c>
      <c r="P79">
        <v>3024.74</v>
      </c>
      <c r="Q79" t="s">
        <v>202</v>
      </c>
      <c r="R79" t="s">
        <v>203</v>
      </c>
      <c r="S79" t="s">
        <v>204</v>
      </c>
      <c r="T79" t="s">
        <v>205</v>
      </c>
      <c r="U79" t="s">
        <v>326</v>
      </c>
      <c r="V79" t="s">
        <v>38</v>
      </c>
      <c r="W79" t="s">
        <v>39</v>
      </c>
      <c r="X79" t="s">
        <v>329</v>
      </c>
      <c r="Y79" s="25"/>
      <c r="Z79" s="22"/>
    </row>
    <row r="80" spans="1:26" hidden="1" x14ac:dyDescent="0.3">
      <c r="A80" t="s">
        <v>24</v>
      </c>
      <c r="B80" t="s">
        <v>25</v>
      </c>
      <c r="C80" t="s">
        <v>26</v>
      </c>
      <c r="D80" t="s">
        <v>27</v>
      </c>
      <c r="E80" t="s">
        <v>28</v>
      </c>
      <c r="F80" t="s">
        <v>29</v>
      </c>
      <c r="G80" t="s">
        <v>30</v>
      </c>
      <c r="H80" t="s">
        <v>31</v>
      </c>
      <c r="I80" s="23">
        <v>46248</v>
      </c>
      <c r="J80" s="23">
        <v>46248</v>
      </c>
      <c r="K80" s="23" t="s">
        <v>23</v>
      </c>
      <c r="L80" s="23" t="s">
        <v>23</v>
      </c>
      <c r="M80" t="s">
        <v>32</v>
      </c>
      <c r="N80" t="s">
        <v>33</v>
      </c>
      <c r="O80">
        <v>10</v>
      </c>
      <c r="P80">
        <v>445.64</v>
      </c>
      <c r="Q80" t="s">
        <v>34</v>
      </c>
      <c r="R80" t="s">
        <v>35</v>
      </c>
      <c r="S80" t="s">
        <v>36</v>
      </c>
      <c r="T80" t="s">
        <v>37</v>
      </c>
      <c r="U80" t="s">
        <v>326</v>
      </c>
      <c r="V80" t="s">
        <v>38</v>
      </c>
      <c r="W80" t="s">
        <v>39</v>
      </c>
      <c r="X80" t="s">
        <v>329</v>
      </c>
      <c r="Y80" s="25"/>
      <c r="Z80" s="22"/>
    </row>
    <row r="81" spans="1:26" hidden="1" x14ac:dyDescent="0.3">
      <c r="A81" t="s">
        <v>86</v>
      </c>
      <c r="B81" t="s">
        <v>87</v>
      </c>
      <c r="C81" t="s">
        <v>83</v>
      </c>
      <c r="D81" t="s">
        <v>27</v>
      </c>
      <c r="E81" t="s">
        <v>28</v>
      </c>
      <c r="F81" t="s">
        <v>84</v>
      </c>
      <c r="G81" t="s">
        <v>85</v>
      </c>
      <c r="H81" t="s">
        <v>31</v>
      </c>
      <c r="I81" s="23">
        <v>46251</v>
      </c>
      <c r="J81" s="23">
        <v>46251</v>
      </c>
      <c r="K81" s="23" t="s">
        <v>23</v>
      </c>
      <c r="L81" s="23" t="s">
        <v>23</v>
      </c>
      <c r="M81" t="s">
        <v>32</v>
      </c>
      <c r="N81" t="s">
        <v>89</v>
      </c>
      <c r="O81">
        <v>4</v>
      </c>
      <c r="P81">
        <v>636.28</v>
      </c>
      <c r="Q81" t="s">
        <v>90</v>
      </c>
      <c r="R81" t="s">
        <v>91</v>
      </c>
      <c r="S81" t="s">
        <v>92</v>
      </c>
      <c r="T81" t="s">
        <v>93</v>
      </c>
      <c r="U81" t="s">
        <v>327</v>
      </c>
      <c r="V81" t="s">
        <v>38</v>
      </c>
      <c r="W81" t="s">
        <v>39</v>
      </c>
      <c r="X81" t="s">
        <v>329</v>
      </c>
      <c r="Y81" s="25"/>
      <c r="Z81" s="22"/>
    </row>
  </sheetData>
  <autoFilter ref="A1:AA81" xr:uid="{B0BFDC50-75AF-4788-9CF7-8851AEE985E3}">
    <filterColumn colId="5">
      <filters>
        <filter val="Australia"/>
        <filter val="Malaysia"/>
        <filter val="Philippines"/>
        <filter val="Singapore"/>
        <filter val="Vietnam"/>
      </filters>
    </filterColumn>
  </autoFilter>
  <pageMargins left="0.75" right="0.75" top="1" bottom="1" header="0.5" footer="0.5"/>
</worksheet>
</file>

<file path=docMetadata/LabelInfo.xml><?xml version="1.0" encoding="utf-8"?>
<clbl:labelList xmlns:clbl="http://schemas.microsoft.com/office/2020/mipLabelMetadata">
  <clbl:label id="{82fa3fd3-029b-403d-91b4-1dc930cb0e60}" enabled="1" method="Privilege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HP OrderStatus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Dino Santos</cp:lastModifiedBy>
  <dcterms:created xsi:type="dcterms:W3CDTF">2026-08-18T08:18:03Z</dcterms:created>
  <dcterms:modified xsi:type="dcterms:W3CDTF">2026-08-19T04:42:10Z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2fa3fd3-029b-403d-91b4-1dc930cb0e60_Enabled">
    <vt:lpwstr>true</vt:lpwstr>
  </property>
  <property fmtid="{D5CDD505-2E9C-101B-9397-08002B2CF9AE}" pid="3" name="MSIP_Label_82fa3fd3-029b-403d-91b4-1dc930cb0e60_SetDate">
    <vt:lpwstr>2026-08-19T04:42:10Z</vt:lpwstr>
  </property>
  <property fmtid="{D5CDD505-2E9C-101B-9397-08002B2CF9AE}" pid="4" name="MSIP_Label_82fa3fd3-029b-403d-91b4-1dc930cb0e60_Method">
    <vt:lpwstr>Standard</vt:lpwstr>
  </property>
  <property fmtid="{D5CDD505-2E9C-101B-9397-08002B2CF9AE}" pid="5" name="MSIP_Label_82fa3fd3-029b-403d-91b4-1dc930cb0e60_Name">
    <vt:lpwstr>82fa3fd3-029b-403d-91b4-1dc930cb0e60</vt:lpwstr>
  </property>
  <property fmtid="{D5CDD505-2E9C-101B-9397-08002B2CF9AE}" pid="6" name="MSIP_Label_82fa3fd3-029b-403d-91b4-1dc930cb0e60_SiteId">
    <vt:lpwstr>4ae48b41-0137-4599-8661-fc641fe77bea</vt:lpwstr>
  </property>
  <property fmtid="{D5CDD505-2E9C-101B-9397-08002B2CF9AE}" pid="7" name="MSIP_Label_82fa3fd3-029b-403d-91b4-1dc930cb0e60_ActionId">
    <vt:lpwstr>5b7114d5-2ad2-4195-908c-ee87ab22ae52</vt:lpwstr>
  </property>
  <property fmtid="{D5CDD505-2E9C-101B-9397-08002B2CF9AE}" pid="8" name="MSIP_Label_82fa3fd3-029b-403d-91b4-1dc930cb0e60_ContentBits">
    <vt:lpwstr>0</vt:lpwstr>
  </property>
</Properties>
</file>